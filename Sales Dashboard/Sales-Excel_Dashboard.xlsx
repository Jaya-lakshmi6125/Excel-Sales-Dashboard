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13_ncr:1_{34F6D48B-C11D-4BB5-B06D-07292DED069D}" xr6:coauthVersionLast="47" xr6:coauthVersionMax="47" xr10:uidLastSave="{00000000-0000-0000-0000-000000000000}"/>
  <bookViews>
    <workbookView xWindow="-120" yWindow="-120" windowWidth="20730" windowHeight="11040" activeTab="4" xr2:uid="{25255DA7-D5FC-4296-8C39-6C354046093B}"/>
  </bookViews>
  <sheets>
    <sheet name="Detail1" sheetId="3" r:id="rId1"/>
    <sheet name="Detail2" sheetId="5" r:id="rId2"/>
    <sheet name="Pivot Table" sheetId="2" r:id="rId3"/>
    <sheet name="Sheet1" sheetId="1" r:id="rId4"/>
    <sheet name="DashBoard" sheetId="6" r:id="rId5"/>
  </sheets>
  <definedNames>
    <definedName name="Slicer_Product">#N/A</definedName>
    <definedName name="Slicer_Sales_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1" i="1" l="1"/>
  <c r="K8" i="1"/>
  <c r="K5"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2" i="1"/>
</calcChain>
</file>

<file path=xl/sharedStrings.xml><?xml version="1.0" encoding="utf-8"?>
<sst xmlns="http://schemas.openxmlformats.org/spreadsheetml/2006/main" count="277" uniqueCount="40">
  <si>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</si>
  <si>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</si>
  <si>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</si>
  <si>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</si>
  <si>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</si>
  <si>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</si>
  <si>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</si>
  <si>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</si>
  <si>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</si>
  <si>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</si>
  <si>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</si>
  <si>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</si>
  <si>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</si>
  <si>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</si>
  <si>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</si>
  <si>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</si>
  <si>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</si>
  <si>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</si>
  <si>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</si>
  <si>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</si>
  <si>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</si>
  <si>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</si>
  <si>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</si>
  <si>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</si>
  <si>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</si>
  <si>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</si>
  <si>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</si>
  <si>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</si>
  <si>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</si>
  <si>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</si>
  <si>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</si>
  <si>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</si>
  <si>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</si>
  <si>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</si>
  <si>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</si>
  <si>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Grand Total</t>
  </si>
  <si>
    <t>Sum of Total Sales</t>
  </si>
  <si>
    <t>Sum of Units Sold</t>
  </si>
  <si>
    <t>Details for Sum of Total Sales - Region: East</t>
  </si>
  <si>
    <t>Details for Sum of Units Sold - Product: 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</si>
</sst>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 ##\.##,&quot;L&quot;"/>
    <numFmt numFmtId="165" formatCode="_ * #,##0_ ;_ * \-#,##0_ ;_ * &quot;-&quot;??_ ;_ @_ "/>
  </numFmts>
  <fonts count="6"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rgb="FFFFFFFF"/>
      <name val="Aptos Narrow"/>
      <family val="2"/>
      <scheme val="minor"/>
    </font>
    <font>
      <sz val="11"/>
      <color theme="1"/>
      <name val="Aptos Narrow"/>
      <family val="2"/>
      <scheme val="minor"/>
    </font>
    <font>
      <b/>
      <sz val="11"/>
      <color theme="7" tint="-0.249977111117893"/>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theme="3" tint="9.9978637043366805E-2"/>
        <bgColor indexed="64"/>
      </patternFill>
    </fill>
    <fill>
      <patternFill patternType="solid">
        <fgColor rgb="FFF8FAFC"/>
        <bgColor indexed="64"/>
      </patternFill>
    </fill>
  </fills>
  <borders count="7">
    <border>
      <left/>
      <right/>
      <top/>
      <bottom/>
      <diagonal/>
    </border>
    <border>
      <left style="medium">
        <color rgb="FFCCCCCC"/>
      </left>
      <right style="medium">
        <color rgb="FFCCCCCC"/>
      </right>
      <top style="medium">
        <color rgb="FFCCCCCC"/>
      </top>
      <bottom style="thick">
        <color rgb="FFFFC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right style="medium">
        <color rgb="FFCCCCCC"/>
      </right>
      <top style="medium">
        <color rgb="FFCCCCCC"/>
      </top>
      <bottom style="thick">
        <color rgb="FFFFC000"/>
      </bottom>
      <diagonal/>
    </border>
    <border>
      <left/>
      <right style="medium">
        <color rgb="FFCCCCCC"/>
      </right>
      <top style="medium">
        <color rgb="FFCCCCCC"/>
      </top>
      <bottom style="medium">
        <color rgb="FFCCCCCC"/>
      </bottom>
      <diagonal/>
    </border>
  </borders>
  <cellStyleXfs count="2">
    <xf numFmtId="0" fontId="0" fillId="0" borderId="0"/>
    <xf numFmtId="43" fontId="4" fillId="0" borderId="0" applyFont="0" applyFill="0" applyBorder="0" applyAlignment="0" applyProtection="0"/>
  </cellStyleXfs>
  <cellXfs count="20">
    <xf numFmtId="0" fontId="0" fillId="0" borderId="0" xfId="0"/>
    <xf numFmtId="0" fontId="3" fillId="2" borderId="1" xfId="0" applyFont="1" applyFill="1" applyBorder="1" applyAlignment="1">
      <alignment horizontal="center" vertical="center" wrapText="1"/>
    </xf>
    <xf numFmtId="0" fontId="0" fillId="0" borderId="2" xfId="0" applyBorder="1" applyAlignment="1">
      <alignment wrapText="1"/>
    </xf>
    <xf numFmtId="0" fontId="0" fillId="0" borderId="2" xfId="0" applyBorder="1" applyAlignment="1">
      <alignment horizontal="right" wrapText="1"/>
    </xf>
    <xf numFmtId="14" fontId="0" fillId="0" borderId="0" xfId="0" applyNumberFormat="1"/>
    <xf numFmtId="0" fontId="3" fillId="2" borderId="3" xfId="0" applyFont="1" applyFill="1" applyBorder="1" applyAlignment="1">
      <alignment horizontal="center" vertical="center" wrapText="1"/>
    </xf>
    <xf numFmtId="3" fontId="0" fillId="0" borderId="2" xfId="0" applyNumberFormat="1" applyBorder="1" applyAlignment="1">
      <alignment horizontal="right" wrapText="1"/>
    </xf>
    <xf numFmtId="0" fontId="3" fillId="2" borderId="4" xfId="0" applyFont="1" applyFill="1" applyBorder="1" applyAlignment="1">
      <alignment horizontal="center" vertical="center" wrapText="1"/>
    </xf>
    <xf numFmtId="0" fontId="2" fillId="3" borderId="0" xfId="0" applyFont="1" applyFill="1" applyAlignment="1">
      <alignment horizontal="center" vertical="center"/>
    </xf>
    <xf numFmtId="0" fontId="2" fillId="3" borderId="0" xfId="0" applyFont="1" applyFill="1" applyAlignment="1">
      <alignment horizontal="center"/>
    </xf>
    <xf numFmtId="3" fontId="0" fillId="0" borderId="0" xfId="0" applyNumberFormat="1"/>
    <xf numFmtId="14" fontId="3" fillId="2" borderId="5" xfId="0" applyNumberFormat="1" applyFont="1" applyFill="1" applyBorder="1" applyAlignment="1">
      <alignment horizontal="center" vertical="center" wrapText="1"/>
    </xf>
    <xf numFmtId="14" fontId="0" fillId="0" borderId="6" xfId="0" applyNumberFormat="1" applyBorder="1" applyAlignment="1">
      <alignment horizontal="center" wrapText="1"/>
    </xf>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4" borderId="0" xfId="0" applyFill="1"/>
    <xf numFmtId="165" fontId="0" fillId="0" borderId="0" xfId="1" applyNumberFormat="1" applyFont="1"/>
    <xf numFmtId="0" fontId="5" fillId="0" borderId="0" xfId="0" applyFont="1"/>
  </cellXfs>
  <cellStyles count="2">
    <cellStyle name="Comma" xfId="1" builtinId="3"/>
    <cellStyle name="Normal" xfId="0" builtinId="0"/>
  </cellStyles>
  <dxfs count="13">
    <dxf>
      <numFmt numFmtId="3"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3"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3"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border>
    </dxf>
    <dxf>
      <alignment horizontal="right" vertical="bottom" textRotation="0" wrapText="1" indent="0" justifyLastLine="0" shrinkToFit="0" readingOrder="0"/>
    </dxf>
    <dxf>
      <font>
        <b val="0"/>
        <i val="0"/>
        <strike val="0"/>
        <condense val="0"/>
        <extend val="0"/>
        <outline val="0"/>
        <shadow val="0"/>
        <u val="none"/>
        <vertAlign val="baseline"/>
        <sz val="11"/>
        <color rgb="FFFFFFFF"/>
        <name val="Aptos Narrow"/>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19" formatCode="dd/mm/yyyy"/>
    </dxf>
    <dxf>
      <numFmt numFmtId="19" formatCode="dd/mm/yyyy"/>
    </dxf>
  </dxfs>
  <tableStyles count="0" defaultTableStyle="TableStyleMedium2" defaultPivotStyle="PivotStyleLight16"/>
  <colors>
    <mruColors>
      <color rgb="FFFFFFFF"/>
      <color rgb="FFF8FAFC"/>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36318407960184"/>
              <c:y val="-8.0433120907398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746268656716411"/>
              <c:y val="9.28074472008445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522388059701492"/>
              <c:y val="4.9497305173783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328358208955225"/>
              <c:y val="-8.6620284054121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36318407960184"/>
              <c:y val="-8.0433120907398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746268656716411"/>
              <c:y val="9.28074472008445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522388059701492"/>
              <c:y val="4.9497305173783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328358208955225"/>
              <c:y val="-8.6620284054121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w="19050">
            <a:noFill/>
          </a:ln>
          <a:effectLst/>
        </c:spPr>
        <c:dLbl>
          <c:idx val="0"/>
          <c:layout>
            <c:manualLayout>
              <c:x val="0.12736318407960184"/>
              <c:y val="-8.0433120907398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noFill/>
          </a:ln>
          <a:effectLst/>
        </c:spPr>
        <c:dLbl>
          <c:idx val="0"/>
          <c:layout>
            <c:manualLayout>
              <c:x val="0.10746268656716411"/>
              <c:y val="9.28074472008445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w="19050">
            <a:noFill/>
          </a:ln>
          <a:effectLst/>
        </c:spPr>
        <c:dLbl>
          <c:idx val="0"/>
          <c:layout>
            <c:manualLayout>
              <c:x val="-0.15522388059701492"/>
              <c:y val="4.9497305173783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noFill/>
          </a:ln>
          <a:effectLst/>
        </c:spPr>
        <c:dLbl>
          <c:idx val="0"/>
          <c:layout>
            <c:manualLayout>
              <c:x val="-0.14328358208955225"/>
              <c:y val="-8.6620284054121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340061706443767"/>
          <c:y val="0.1994236754879275"/>
          <c:w val="0.31568970025833887"/>
          <c:h val="0.61614067251271454"/>
        </c:manualLayout>
      </c:layout>
      <c:doughnutChart>
        <c:varyColors val="1"/>
        <c:ser>
          <c:idx val="0"/>
          <c:order val="0"/>
          <c:tx>
            <c:strRef>
              <c:f>'Pivot Table'!$B$3</c:f>
              <c:strCache>
                <c:ptCount val="1"/>
                <c:pt idx="0">
                  <c:v>Total</c:v>
                </c:pt>
              </c:strCache>
            </c:strRef>
          </c:tx>
          <c:spPr>
            <a:solidFill>
              <a:schemeClr val="accent4">
                <a:lumMod val="75000"/>
              </a:schemeClr>
            </a:solidFill>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C065-4556-B6B7-597BDF6EED4A}"/>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C065-4556-B6B7-597BDF6EED4A}"/>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C065-4556-B6B7-597BDF6EED4A}"/>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C065-4556-B6B7-597BDF6EED4A}"/>
              </c:ext>
            </c:extLst>
          </c:dPt>
          <c:dLbls>
            <c:dLbl>
              <c:idx val="0"/>
              <c:layout>
                <c:manualLayout>
                  <c:x val="0.12736318407960184"/>
                  <c:y val="-8.0433120907398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65-4556-B6B7-597BDF6EED4A}"/>
                </c:ext>
              </c:extLst>
            </c:dLbl>
            <c:dLbl>
              <c:idx val="1"/>
              <c:layout>
                <c:manualLayout>
                  <c:x val="0.10746268656716411"/>
                  <c:y val="9.2807447200844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65-4556-B6B7-597BDF6EED4A}"/>
                </c:ext>
              </c:extLst>
            </c:dLbl>
            <c:dLbl>
              <c:idx val="2"/>
              <c:layout>
                <c:manualLayout>
                  <c:x val="-0.15522388059701492"/>
                  <c:y val="4.9497305173783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65-4556-B6B7-597BDF6EED4A}"/>
                </c:ext>
              </c:extLst>
            </c:dLbl>
            <c:dLbl>
              <c:idx val="3"/>
              <c:layout>
                <c:manualLayout>
                  <c:x val="-0.14328358208955225"/>
                  <c:y val="-8.6620284054121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65-4556-B6B7-597BDF6EED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##\.##,"L"</c:formatCode>
                <c:ptCount val="4"/>
                <c:pt idx="0">
                  <c:v>3534400</c:v>
                </c:pt>
                <c:pt idx="1">
                  <c:v>2661400</c:v>
                </c:pt>
                <c:pt idx="2">
                  <c:v>2870600</c:v>
                </c:pt>
                <c:pt idx="3">
                  <c:v>3878100</c:v>
                </c:pt>
              </c:numCache>
            </c:numRef>
          </c:val>
          <c:extLst>
            <c:ext xmlns:c16="http://schemas.microsoft.com/office/drawing/2014/chart" uri="{C3380CC4-5D6E-409C-BE32-E72D297353CC}">
              <c16:uniqueId val="{00000008-C065-4556-B6B7-597BDF6EED4A}"/>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layout>
        <c:manualLayout>
          <c:xMode val="edge"/>
          <c:yMode val="edge"/>
          <c:x val="0.41629060871307172"/>
          <c:y val="0.90890637275529473"/>
          <c:w val="0.4225528705463541"/>
          <c:h val="9.10937937002746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Table!PivotTable4</c:name>
    <c:fmtId val="21"/>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73718408260806E-2"/>
          <c:y val="9.6401742885587676E-4"/>
          <c:w val="0.93385945916259538"/>
          <c:h val="0.74463809181601848"/>
        </c:manualLayout>
      </c:layout>
      <c:lineChart>
        <c:grouping val="stacked"/>
        <c:varyColors val="0"/>
        <c:ser>
          <c:idx val="0"/>
          <c:order val="0"/>
          <c:tx>
            <c:strRef>
              <c:f>'Pivot Table'!$K$3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C41-4E44-B9A1-FD9C32BAE76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94552272"/>
        <c:axId val="1994555152"/>
      </c:lineChart>
      <c:catAx>
        <c:axId val="199455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accent1"/>
                </a:solidFill>
                <a:latin typeface="+mn-lt"/>
                <a:ea typeface="+mn-ea"/>
                <a:cs typeface="+mn-cs"/>
              </a:defRPr>
            </a:pPr>
            <a:endParaRPr lang="en-US"/>
          </a:p>
        </c:txPr>
        <c:crossAx val="1994555152"/>
        <c:crosses val="autoZero"/>
        <c:auto val="0"/>
        <c:lblAlgn val="ctr"/>
        <c:lblOffset val="100"/>
        <c:tickMarkSkip val="2"/>
        <c:noMultiLvlLbl val="0"/>
      </c:catAx>
      <c:valAx>
        <c:axId val="1994555152"/>
        <c:scaling>
          <c:orientation val="minMax"/>
        </c:scaling>
        <c:delete val="1"/>
        <c:axPos val="l"/>
        <c:numFmt formatCode="General" sourceLinked="1"/>
        <c:majorTickMark val="none"/>
        <c:minorTickMark val="none"/>
        <c:tickLblPos val="nextTo"/>
        <c:crossAx val="19945522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21000">
                <a:schemeClr val="accent4">
                  <a:lumMod val="67000"/>
                </a:schemeClr>
              </a:gs>
              <a:gs pos="87156">
                <a:schemeClr val="accent4">
                  <a:lumMod val="97000"/>
                  <a:lumOff val="3000"/>
                </a:schemeClr>
              </a:gs>
              <a:gs pos="71000">
                <a:schemeClr val="accent4">
                  <a:lumMod val="97000"/>
                  <a:lumOff val="3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21000">
                <a:schemeClr val="accent4">
                  <a:lumMod val="67000"/>
                </a:schemeClr>
              </a:gs>
              <a:gs pos="87156">
                <a:schemeClr val="accent4">
                  <a:lumMod val="97000"/>
                  <a:lumOff val="3000"/>
                </a:schemeClr>
              </a:gs>
              <a:gs pos="71000">
                <a:schemeClr val="accent4">
                  <a:lumMod val="97000"/>
                  <a:lumOff val="3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21000">
                <a:schemeClr val="accent4">
                  <a:lumMod val="67000"/>
                </a:schemeClr>
              </a:gs>
              <a:gs pos="87156">
                <a:schemeClr val="accent4">
                  <a:lumMod val="97000"/>
                  <a:lumOff val="3000"/>
                </a:schemeClr>
              </a:gs>
              <a:gs pos="71000">
                <a:schemeClr val="accent4">
                  <a:lumMod val="97000"/>
                  <a:lumOff val="3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47547839962736E-4"/>
          <c:y val="0.20381992148904354"/>
          <c:w val="0.91227528125013024"/>
          <c:h val="0.59393105114799405"/>
        </c:manualLayout>
      </c:layout>
      <c:barChart>
        <c:barDir val="col"/>
        <c:grouping val="clustered"/>
        <c:varyColors val="0"/>
        <c:ser>
          <c:idx val="0"/>
          <c:order val="0"/>
          <c:tx>
            <c:strRef>
              <c:f>'Pivot Table'!$H$3</c:f>
              <c:strCache>
                <c:ptCount val="1"/>
                <c:pt idx="0">
                  <c:v>Total</c:v>
                </c:pt>
              </c:strCache>
            </c:strRef>
          </c:tx>
          <c:spPr>
            <a:gradFill flip="none" rotWithShape="1">
              <a:gsLst>
                <a:gs pos="21000">
                  <a:schemeClr val="accent4">
                    <a:lumMod val="67000"/>
                  </a:schemeClr>
                </a:gs>
                <a:gs pos="87156">
                  <a:schemeClr val="accent4">
                    <a:lumMod val="97000"/>
                    <a:lumOff val="3000"/>
                  </a:schemeClr>
                </a:gs>
                <a:gs pos="71000">
                  <a:schemeClr val="accent4">
                    <a:lumMod val="97000"/>
                    <a:lumOff val="3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FD9-4A9F-9958-E278BEECAD5A}"/>
            </c:ext>
          </c:extLst>
        </c:ser>
        <c:dLbls>
          <c:dLblPos val="outEnd"/>
          <c:showLegendKey val="0"/>
          <c:showVal val="1"/>
          <c:showCatName val="0"/>
          <c:showSerName val="0"/>
          <c:showPercent val="0"/>
          <c:showBubbleSize val="0"/>
        </c:dLbls>
        <c:gapWidth val="120"/>
        <c:overlap val="-27"/>
        <c:axId val="1893638960"/>
        <c:axId val="1893639440"/>
      </c:barChart>
      <c:catAx>
        <c:axId val="189363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39440"/>
        <c:crosses val="autoZero"/>
        <c:auto val="1"/>
        <c:lblAlgn val="ctr"/>
        <c:lblOffset val="100"/>
        <c:noMultiLvlLbl val="0"/>
      </c:catAx>
      <c:valAx>
        <c:axId val="1893639440"/>
        <c:scaling>
          <c:orientation val="minMax"/>
        </c:scaling>
        <c:delete val="1"/>
        <c:axPos val="l"/>
        <c:numFmt formatCode="\ ##\.##,&quot;L&quot;" sourceLinked="1"/>
        <c:majorTickMark val="none"/>
        <c:minorTickMark val="none"/>
        <c:tickLblPos val="nextTo"/>
        <c:crossAx val="18936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44000">
                <a:schemeClr val="accent4">
                  <a:lumMod val="67000"/>
                </a:schemeClr>
              </a:gs>
              <a:gs pos="90000">
                <a:schemeClr val="accent4">
                  <a:lumMod val="97000"/>
                  <a:lumOff val="3000"/>
                </a:schemeClr>
              </a:gs>
              <a:gs pos="100000">
                <a:schemeClr val="accent4">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44000">
                <a:schemeClr val="accent4">
                  <a:lumMod val="67000"/>
                </a:schemeClr>
              </a:gs>
              <a:gs pos="90000">
                <a:schemeClr val="accent4">
                  <a:lumMod val="97000"/>
                  <a:lumOff val="3000"/>
                </a:schemeClr>
              </a:gs>
              <a:gs pos="100000">
                <a:schemeClr val="accent4">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44000">
                <a:schemeClr val="accent4">
                  <a:lumMod val="67000"/>
                </a:schemeClr>
              </a:gs>
              <a:gs pos="90000">
                <a:schemeClr val="accent4">
                  <a:lumMod val="97000"/>
                  <a:lumOff val="3000"/>
                </a:schemeClr>
              </a:gs>
              <a:gs pos="100000">
                <a:schemeClr val="accent4">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1162075688648"/>
          <c:y val="4.3725187617879423E-3"/>
          <c:w val="0.73758697741258239"/>
          <c:h val="0.7768656645192078"/>
        </c:manualLayout>
      </c:layout>
      <c:barChart>
        <c:barDir val="bar"/>
        <c:grouping val="clustered"/>
        <c:varyColors val="0"/>
        <c:ser>
          <c:idx val="0"/>
          <c:order val="0"/>
          <c:tx>
            <c:strRef>
              <c:f>'Pivot Table'!$E$3</c:f>
              <c:strCache>
                <c:ptCount val="1"/>
                <c:pt idx="0">
                  <c:v>Total</c:v>
                </c:pt>
              </c:strCache>
            </c:strRef>
          </c:tx>
          <c:spPr>
            <a:gradFill flip="none" rotWithShape="1">
              <a:gsLst>
                <a:gs pos="44000">
                  <a:schemeClr val="accent4">
                    <a:lumMod val="67000"/>
                  </a:schemeClr>
                </a:gs>
                <a:gs pos="90000">
                  <a:schemeClr val="accent4">
                    <a:lumMod val="97000"/>
                    <a:lumOff val="3000"/>
                  </a:schemeClr>
                </a:gs>
                <a:gs pos="100000">
                  <a:schemeClr val="accent4">
                    <a:lumMod val="60000"/>
                    <a:lumOff val="4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86B0-465A-AB02-00C72E46F282}"/>
            </c:ext>
          </c:extLst>
        </c:ser>
        <c:dLbls>
          <c:showLegendKey val="0"/>
          <c:showVal val="0"/>
          <c:showCatName val="0"/>
          <c:showSerName val="0"/>
          <c:showPercent val="0"/>
          <c:showBubbleSize val="0"/>
        </c:dLbls>
        <c:gapWidth val="100"/>
        <c:axId val="1994550832"/>
        <c:axId val="1994551792"/>
      </c:barChart>
      <c:catAx>
        <c:axId val="1994550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94551792"/>
        <c:crosses val="autoZero"/>
        <c:auto val="1"/>
        <c:lblAlgn val="ctr"/>
        <c:lblOffset val="100"/>
        <c:noMultiLvlLbl val="0"/>
      </c:catAx>
      <c:valAx>
        <c:axId val="1994551792"/>
        <c:scaling>
          <c:orientation val="minMax"/>
        </c:scaling>
        <c:delete val="1"/>
        <c:axPos val="b"/>
        <c:numFmt formatCode="\ ##\.##,&quot;L&quot;" sourceLinked="1"/>
        <c:majorTickMark val="out"/>
        <c:minorTickMark val="none"/>
        <c:tickLblPos val="nextTo"/>
        <c:crossAx val="199455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107016</xdr:colOff>
      <xdr:row>0</xdr:row>
      <xdr:rowOff>102533</xdr:rowOff>
    </xdr:from>
    <xdr:to>
      <xdr:col>20</xdr:col>
      <xdr:colOff>306482</xdr:colOff>
      <xdr:row>4</xdr:row>
      <xdr:rowOff>112058</xdr:rowOff>
    </xdr:to>
    <xdr:sp macro="" textlink="">
      <xdr:nvSpPr>
        <xdr:cNvPr id="2" name="Rectangle: Rounded Corners 1">
          <a:extLst>
            <a:ext uri="{FF2B5EF4-FFF2-40B4-BE49-F238E27FC236}">
              <a16:creationId xmlns:a16="http://schemas.microsoft.com/office/drawing/2014/main" id="{1A003DA2-3F74-FD42-B188-59462A79BD81}"/>
            </a:ext>
          </a:extLst>
        </xdr:cNvPr>
        <xdr:cNvSpPr/>
      </xdr:nvSpPr>
      <xdr:spPr>
        <a:xfrm>
          <a:off x="107016" y="102533"/>
          <a:ext cx="12362891" cy="771525"/>
        </a:xfrm>
        <a:prstGeom prst="roundRect">
          <a:avLst>
            <a:gd name="adj" fmla="val 20270"/>
          </a:avLst>
        </a:prstGeom>
        <a:gradFill>
          <a:gsLst>
            <a:gs pos="7000">
              <a:schemeClr val="accent4">
                <a:lumMod val="75000"/>
              </a:schemeClr>
            </a:gs>
            <a:gs pos="100000">
              <a:schemeClr val="accent1">
                <a:lumMod val="45000"/>
                <a:lumOff val="55000"/>
              </a:schemeClr>
            </a:gs>
            <a:gs pos="84000">
              <a:schemeClr val="accent1">
                <a:lumMod val="30000"/>
                <a:lumOff val="70000"/>
              </a:schemeClr>
            </a:gs>
          </a:gsLst>
          <a:lin ang="16200000" scaled="1"/>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4</xdr:row>
      <xdr:rowOff>142875</xdr:rowOff>
    </xdr:from>
    <xdr:to>
      <xdr:col>3</xdr:col>
      <xdr:colOff>238125</xdr:colOff>
      <xdr:row>9</xdr:row>
      <xdr:rowOff>114300</xdr:rowOff>
    </xdr:to>
    <xdr:sp macro="" textlink="">
      <xdr:nvSpPr>
        <xdr:cNvPr id="4" name="Rectangle: Rounded Corners 3">
          <a:extLst>
            <a:ext uri="{FF2B5EF4-FFF2-40B4-BE49-F238E27FC236}">
              <a16:creationId xmlns:a16="http://schemas.microsoft.com/office/drawing/2014/main" id="{6ED609F0-64D3-BB3F-61AA-08028C0AE957}"/>
            </a:ext>
          </a:extLst>
        </xdr:cNvPr>
        <xdr:cNvSpPr/>
      </xdr:nvSpPr>
      <xdr:spPr>
        <a:xfrm>
          <a:off x="104775" y="904875"/>
          <a:ext cx="1962150" cy="923925"/>
        </a:xfrm>
        <a:prstGeom prst="roundRect">
          <a:avLst/>
        </a:prstGeom>
        <a:solidFill>
          <a:srgbClr val="F8FA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399489</xdr:colOff>
      <xdr:row>4</xdr:row>
      <xdr:rowOff>189940</xdr:rowOff>
    </xdr:from>
    <xdr:to>
      <xdr:col>8</xdr:col>
      <xdr:colOff>168089</xdr:colOff>
      <xdr:row>10</xdr:row>
      <xdr:rowOff>134470</xdr:rowOff>
    </xdr:to>
    <xdr:sp macro="" textlink="">
      <xdr:nvSpPr>
        <xdr:cNvPr id="8" name="Rectangle: Rounded Corners 7">
          <a:extLst>
            <a:ext uri="{FF2B5EF4-FFF2-40B4-BE49-F238E27FC236}">
              <a16:creationId xmlns:a16="http://schemas.microsoft.com/office/drawing/2014/main" id="{FC4CF0CC-0B2C-4F0F-1BFE-50FF06BF8B04}"/>
            </a:ext>
          </a:extLst>
        </xdr:cNvPr>
        <xdr:cNvSpPr/>
      </xdr:nvSpPr>
      <xdr:spPr>
        <a:xfrm>
          <a:off x="2819960" y="951940"/>
          <a:ext cx="2189070" cy="1087530"/>
        </a:xfrm>
        <a:prstGeom prst="roundRect">
          <a:avLst>
            <a:gd name="adj" fmla="val 20270"/>
          </a:avLst>
        </a:prstGeom>
        <a:gradFill flip="none" rotWithShape="1">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tileRect/>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491376</xdr:colOff>
      <xdr:row>6</xdr:row>
      <xdr:rowOff>67237</xdr:rowOff>
    </xdr:from>
    <xdr:to>
      <xdr:col>8</xdr:col>
      <xdr:colOff>319927</xdr:colOff>
      <xdr:row>9</xdr:row>
      <xdr:rowOff>59392</xdr:rowOff>
    </xdr:to>
    <xdr:grpSp>
      <xdr:nvGrpSpPr>
        <xdr:cNvPr id="18" name="Group 17">
          <a:extLst>
            <a:ext uri="{FF2B5EF4-FFF2-40B4-BE49-F238E27FC236}">
              <a16:creationId xmlns:a16="http://schemas.microsoft.com/office/drawing/2014/main" id="{3FDB7B07-80A9-F327-ACED-29073A161D8B}"/>
            </a:ext>
          </a:extLst>
        </xdr:cNvPr>
        <xdr:cNvGrpSpPr/>
      </xdr:nvGrpSpPr>
      <xdr:grpSpPr>
        <a:xfrm>
          <a:off x="3539376" y="1210237"/>
          <a:ext cx="1657351" cy="563655"/>
          <a:chOff x="657224" y="1038225"/>
          <a:chExt cx="1657351" cy="563655"/>
        </a:xfrm>
      </xdr:grpSpPr>
      <xdr:sp macro="" textlink="">
        <xdr:nvSpPr>
          <xdr:cNvPr id="11" name="TextBox 10">
            <a:extLst>
              <a:ext uri="{FF2B5EF4-FFF2-40B4-BE49-F238E27FC236}">
                <a16:creationId xmlns:a16="http://schemas.microsoft.com/office/drawing/2014/main" id="{672CF280-560F-42DE-5FBF-533717B9E3EC}"/>
              </a:ext>
            </a:extLst>
          </xdr:cNvPr>
          <xdr:cNvSpPr txBox="1"/>
        </xdr:nvSpPr>
        <xdr:spPr>
          <a:xfrm>
            <a:off x="657225" y="1038225"/>
            <a:ext cx="1657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lumMod val="90000"/>
                    <a:lumOff val="10000"/>
                  </a:schemeClr>
                </a:solidFill>
              </a:rPr>
              <a:t>TOTAL</a:t>
            </a:r>
            <a:r>
              <a:rPr lang="en-IN" sz="1200" b="1" baseline="0">
                <a:solidFill>
                  <a:schemeClr val="bg1"/>
                </a:solidFill>
              </a:rPr>
              <a:t> </a:t>
            </a:r>
            <a:r>
              <a:rPr lang="en-IN" sz="1400" b="1" baseline="0">
                <a:solidFill>
                  <a:schemeClr val="tx2">
                    <a:lumMod val="90000"/>
                    <a:lumOff val="10000"/>
                  </a:schemeClr>
                </a:solidFill>
              </a:rPr>
              <a:t>SALES</a:t>
            </a:r>
            <a:endParaRPr lang="en-IN" sz="1200" b="1">
              <a:solidFill>
                <a:schemeClr val="tx2">
                  <a:lumMod val="90000"/>
                  <a:lumOff val="10000"/>
                </a:schemeClr>
              </a:solidFill>
            </a:endParaRPr>
          </a:p>
        </xdr:txBody>
      </xdr:sp>
      <xdr:sp macro="" textlink="Sheet1!K2">
        <xdr:nvSpPr>
          <xdr:cNvPr id="14" name="TextBox 13">
            <a:extLst>
              <a:ext uri="{FF2B5EF4-FFF2-40B4-BE49-F238E27FC236}">
                <a16:creationId xmlns:a16="http://schemas.microsoft.com/office/drawing/2014/main" id="{39ECFCE9-3687-4310-8FD3-2176B43E0780}"/>
              </a:ext>
            </a:extLst>
          </xdr:cNvPr>
          <xdr:cNvSpPr txBox="1"/>
        </xdr:nvSpPr>
        <xdr:spPr>
          <a:xfrm>
            <a:off x="657224" y="1306605"/>
            <a:ext cx="1657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811295-A666-4AB2-B499-A1E9E86E8307}" type="TxLink">
              <a:rPr lang="en-US" sz="1400" b="0" i="0" u="none" strike="noStrike">
                <a:solidFill>
                  <a:srgbClr val="000000"/>
                </a:solidFill>
                <a:latin typeface="Aptos Narrow"/>
              </a:rPr>
              <a:pPr algn="ctr"/>
              <a:t>1,29,44,500</a:t>
            </a:fld>
            <a:endParaRPr lang="en-IN" sz="1400" b="1">
              <a:solidFill>
                <a:schemeClr val="tx2">
                  <a:lumMod val="90000"/>
                  <a:lumOff val="10000"/>
                </a:schemeClr>
              </a:solidFill>
            </a:endParaRPr>
          </a:p>
        </xdr:txBody>
      </xdr:sp>
    </xdr:grpSp>
    <xdr:clientData/>
  </xdr:twoCellAnchor>
  <xdr:twoCellAnchor>
    <xdr:from>
      <xdr:col>12</xdr:col>
      <xdr:colOff>257735</xdr:colOff>
      <xdr:row>11</xdr:row>
      <xdr:rowOff>52106</xdr:rowOff>
    </xdr:from>
    <xdr:to>
      <xdr:col>20</xdr:col>
      <xdr:colOff>218516</xdr:colOff>
      <xdr:row>20</xdr:row>
      <xdr:rowOff>171450</xdr:rowOff>
    </xdr:to>
    <xdr:sp macro="" textlink="">
      <xdr:nvSpPr>
        <xdr:cNvPr id="3" name="Rectangle: Rounded Corners 2">
          <a:extLst>
            <a:ext uri="{FF2B5EF4-FFF2-40B4-BE49-F238E27FC236}">
              <a16:creationId xmlns:a16="http://schemas.microsoft.com/office/drawing/2014/main" id="{60A6DAC8-79DF-422F-B1D1-BCD6212D5993}"/>
            </a:ext>
          </a:extLst>
        </xdr:cNvPr>
        <xdr:cNvSpPr/>
      </xdr:nvSpPr>
      <xdr:spPr>
        <a:xfrm>
          <a:off x="7572935" y="2147606"/>
          <a:ext cx="4809006" cy="1833844"/>
        </a:xfrm>
        <a:prstGeom prst="roundRect">
          <a:avLst>
            <a:gd name="adj" fmla="val 7800"/>
          </a:avLst>
        </a:prstGeom>
        <a:gradFill flip="none" rotWithShape="1">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tileRect/>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285750</xdr:colOff>
      <xdr:row>10</xdr:row>
      <xdr:rowOff>127749</xdr:rowOff>
    </xdr:from>
    <xdr:to>
      <xdr:col>19</xdr:col>
      <xdr:colOff>115981</xdr:colOff>
      <xdr:row>20</xdr:row>
      <xdr:rowOff>66675</xdr:rowOff>
    </xdr:to>
    <xdr:graphicFrame macro="">
      <xdr:nvGraphicFramePr>
        <xdr:cNvPr id="5" name="Chart 4">
          <a:extLst>
            <a:ext uri="{FF2B5EF4-FFF2-40B4-BE49-F238E27FC236}">
              <a16:creationId xmlns:a16="http://schemas.microsoft.com/office/drawing/2014/main" id="{96FEB150-7E91-4C6C-A6C8-C0EBAD00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11</xdr:row>
      <xdr:rowOff>50427</xdr:rowOff>
    </xdr:from>
    <xdr:to>
      <xdr:col>12</xdr:col>
      <xdr:colOff>150719</xdr:colOff>
      <xdr:row>20</xdr:row>
      <xdr:rowOff>171450</xdr:rowOff>
    </xdr:to>
    <xdr:sp macro="" textlink="">
      <xdr:nvSpPr>
        <xdr:cNvPr id="36" name="Rectangle: Rounded Corners 35">
          <a:extLst>
            <a:ext uri="{FF2B5EF4-FFF2-40B4-BE49-F238E27FC236}">
              <a16:creationId xmlns:a16="http://schemas.microsoft.com/office/drawing/2014/main" id="{FC2F5813-17DE-94C0-EF58-AA6A22D8F8BC}"/>
            </a:ext>
          </a:extLst>
        </xdr:cNvPr>
        <xdr:cNvSpPr/>
      </xdr:nvSpPr>
      <xdr:spPr>
        <a:xfrm>
          <a:off x="2867025" y="2145927"/>
          <a:ext cx="4598894" cy="1835523"/>
        </a:xfrm>
        <a:prstGeom prst="roundRect">
          <a:avLst>
            <a:gd name="adj" fmla="val 8287"/>
          </a:avLst>
        </a:prstGeom>
        <a:gradFill>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50000"/>
                </a:schemeClr>
              </a:solidFill>
            </a:rPr>
            <a:t>Unit</a:t>
          </a:r>
          <a:r>
            <a:rPr lang="en-IN" sz="1100" b="1" baseline="0">
              <a:solidFill>
                <a:schemeClr val="accent4">
                  <a:lumMod val="50000"/>
                </a:schemeClr>
              </a:solidFill>
            </a:rPr>
            <a:t> Sold by Product</a:t>
          </a:r>
          <a:endParaRPr lang="en-IN" sz="1100" b="1">
            <a:solidFill>
              <a:schemeClr val="accent4">
                <a:lumMod val="50000"/>
              </a:schemeClr>
            </a:solidFill>
          </a:endParaRPr>
        </a:p>
      </xdr:txBody>
    </xdr:sp>
    <xdr:clientData/>
  </xdr:twoCellAnchor>
  <xdr:twoCellAnchor>
    <xdr:from>
      <xdr:col>4</xdr:col>
      <xdr:colOff>504265</xdr:colOff>
      <xdr:row>11</xdr:row>
      <xdr:rowOff>99733</xdr:rowOff>
    </xdr:from>
    <xdr:to>
      <xdr:col>11</xdr:col>
      <xdr:colOff>470648</xdr:colOff>
      <xdr:row>21</xdr:row>
      <xdr:rowOff>128308</xdr:rowOff>
    </xdr:to>
    <xdr:graphicFrame macro="">
      <xdr:nvGraphicFramePr>
        <xdr:cNvPr id="37" name="Chart 36">
          <a:extLst>
            <a:ext uri="{FF2B5EF4-FFF2-40B4-BE49-F238E27FC236}">
              <a16:creationId xmlns:a16="http://schemas.microsoft.com/office/drawing/2014/main" id="{E2B28CC7-1E37-4BD3-BFDE-6ACFE4DE2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161925</xdr:colOff>
      <xdr:row>0</xdr:row>
      <xdr:rowOff>133350</xdr:rowOff>
    </xdr:from>
    <xdr:to>
      <xdr:col>18</xdr:col>
      <xdr:colOff>447675</xdr:colOff>
      <xdr:row>3</xdr:row>
      <xdr:rowOff>152400</xdr:rowOff>
    </xdr:to>
    <xdr:sp macro="" textlink="">
      <xdr:nvSpPr>
        <xdr:cNvPr id="47" name="TextBox 46">
          <a:extLst>
            <a:ext uri="{FF2B5EF4-FFF2-40B4-BE49-F238E27FC236}">
              <a16:creationId xmlns:a16="http://schemas.microsoft.com/office/drawing/2014/main" id="{9BCB46D3-566D-DB21-0B39-464A6E447BA5}"/>
            </a:ext>
          </a:extLst>
        </xdr:cNvPr>
        <xdr:cNvSpPr txBox="1"/>
      </xdr:nvSpPr>
      <xdr:spPr>
        <a:xfrm>
          <a:off x="1381125" y="133350"/>
          <a:ext cx="10039350" cy="5905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chemeClr val="bg1"/>
              </a:solidFill>
              <a:latin typeface="+mn-lt"/>
            </a:rPr>
            <a:t>SALES DASHBOARD</a:t>
          </a:r>
        </a:p>
      </xdr:txBody>
    </xdr:sp>
    <xdr:clientData/>
  </xdr:twoCellAnchor>
  <xdr:twoCellAnchor>
    <xdr:from>
      <xdr:col>12</xdr:col>
      <xdr:colOff>158000</xdr:colOff>
      <xdr:row>4</xdr:row>
      <xdr:rowOff>187139</xdr:rowOff>
    </xdr:from>
    <xdr:to>
      <xdr:col>16</xdr:col>
      <xdr:colOff>126973</xdr:colOff>
      <xdr:row>10</xdr:row>
      <xdr:rowOff>142314</xdr:rowOff>
    </xdr:to>
    <xdr:sp macro="" textlink="">
      <xdr:nvSpPr>
        <xdr:cNvPr id="25" name="Rectangle: Rounded Corners 24">
          <a:extLst>
            <a:ext uri="{FF2B5EF4-FFF2-40B4-BE49-F238E27FC236}">
              <a16:creationId xmlns:a16="http://schemas.microsoft.com/office/drawing/2014/main" id="{E5487111-4D1B-8078-43E9-31CFCA397B80}"/>
            </a:ext>
          </a:extLst>
        </xdr:cNvPr>
        <xdr:cNvSpPr/>
      </xdr:nvSpPr>
      <xdr:spPr>
        <a:xfrm>
          <a:off x="7473200" y="949139"/>
          <a:ext cx="2407373" cy="1098175"/>
        </a:xfrm>
        <a:prstGeom prst="roundRect">
          <a:avLst>
            <a:gd name="adj" fmla="val 20270"/>
          </a:avLst>
        </a:prstGeom>
        <a:gradFill flip="none" rotWithShape="1">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tileRect/>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20171</xdr:colOff>
      <xdr:row>6</xdr:row>
      <xdr:rowOff>48185</xdr:rowOff>
    </xdr:from>
    <xdr:to>
      <xdr:col>6</xdr:col>
      <xdr:colOff>56028</xdr:colOff>
      <xdr:row>9</xdr:row>
      <xdr:rowOff>112058</xdr:rowOff>
    </xdr:to>
    <xdr:pic>
      <xdr:nvPicPr>
        <xdr:cNvPr id="73" name="Graphic 72" descr="Money outline">
          <a:extLst>
            <a:ext uri="{FF2B5EF4-FFF2-40B4-BE49-F238E27FC236}">
              <a16:creationId xmlns:a16="http://schemas.microsoft.com/office/drawing/2014/main" id="{95ECB549-BA94-8474-EB7C-F1C639A088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5759" y="1191185"/>
          <a:ext cx="640975" cy="635373"/>
        </a:xfrm>
        <a:prstGeom prst="rect">
          <a:avLst/>
        </a:prstGeom>
      </xdr:spPr>
    </xdr:pic>
    <xdr:clientData/>
  </xdr:twoCellAnchor>
  <xdr:twoCellAnchor editAs="oneCell">
    <xdr:from>
      <xdr:col>6</xdr:col>
      <xdr:colOff>164250</xdr:colOff>
      <xdr:row>1</xdr:row>
      <xdr:rowOff>11850</xdr:rowOff>
    </xdr:from>
    <xdr:to>
      <xdr:col>7</xdr:col>
      <xdr:colOff>73050</xdr:colOff>
      <xdr:row>3</xdr:row>
      <xdr:rowOff>149250</xdr:rowOff>
    </xdr:to>
    <xdr:pic>
      <xdr:nvPicPr>
        <xdr:cNvPr id="79" name="Graphic 78" descr="Bar graph with upward trend outline">
          <a:extLst>
            <a:ext uri="{FF2B5EF4-FFF2-40B4-BE49-F238E27FC236}">
              <a16:creationId xmlns:a16="http://schemas.microsoft.com/office/drawing/2014/main" id="{F3A35317-0801-9837-103A-26518923256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21850" y="202350"/>
          <a:ext cx="518400" cy="518400"/>
        </a:xfrm>
        <a:prstGeom prst="rect">
          <a:avLst/>
        </a:prstGeom>
        <a:effectLst>
          <a:outerShdw blurRad="50800" dist="38100" dir="2700000" algn="tl" rotWithShape="0">
            <a:prstClr val="black">
              <a:alpha val="40000"/>
            </a:prstClr>
          </a:outerShdw>
        </a:effectLst>
      </xdr:spPr>
    </xdr:pic>
    <xdr:clientData/>
  </xdr:twoCellAnchor>
  <xdr:twoCellAnchor editAs="oneCell">
    <xdr:from>
      <xdr:col>12</xdr:col>
      <xdr:colOff>395568</xdr:colOff>
      <xdr:row>6</xdr:row>
      <xdr:rowOff>44824</xdr:rowOff>
    </xdr:from>
    <xdr:to>
      <xdr:col>13</xdr:col>
      <xdr:colOff>459442</xdr:colOff>
      <xdr:row>9</xdr:row>
      <xdr:rowOff>84276</xdr:rowOff>
    </xdr:to>
    <xdr:pic>
      <xdr:nvPicPr>
        <xdr:cNvPr id="17" name="Graphic 16" descr="Good Inventory outline">
          <a:extLst>
            <a:ext uri="{FF2B5EF4-FFF2-40B4-BE49-F238E27FC236}">
              <a16:creationId xmlns:a16="http://schemas.microsoft.com/office/drawing/2014/main" id="{2E602C0C-8B0A-8A3A-732C-A4C6A20F36D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6980" y="1187824"/>
          <a:ext cx="668991" cy="610952"/>
        </a:xfrm>
        <a:prstGeom prst="rect">
          <a:avLst/>
        </a:prstGeom>
      </xdr:spPr>
    </xdr:pic>
    <xdr:clientData/>
  </xdr:twoCellAnchor>
  <xdr:twoCellAnchor>
    <xdr:from>
      <xdr:col>0</xdr:col>
      <xdr:colOff>114016</xdr:colOff>
      <xdr:row>4</xdr:row>
      <xdr:rowOff>179301</xdr:rowOff>
    </xdr:from>
    <xdr:to>
      <xdr:col>4</xdr:col>
      <xdr:colOff>324969</xdr:colOff>
      <xdr:row>30</xdr:row>
      <xdr:rowOff>133353</xdr:rowOff>
    </xdr:to>
    <xdr:sp macro="" textlink="">
      <xdr:nvSpPr>
        <xdr:cNvPr id="38" name="Rectangle: Rounded Corners 37">
          <a:extLst>
            <a:ext uri="{FF2B5EF4-FFF2-40B4-BE49-F238E27FC236}">
              <a16:creationId xmlns:a16="http://schemas.microsoft.com/office/drawing/2014/main" id="{2D41E872-C04D-743D-2FE4-63CE9FBF28FF}"/>
            </a:ext>
          </a:extLst>
        </xdr:cNvPr>
        <xdr:cNvSpPr/>
      </xdr:nvSpPr>
      <xdr:spPr>
        <a:xfrm rot="5400000">
          <a:off x="-1014833" y="2070150"/>
          <a:ext cx="4907052" cy="2649353"/>
        </a:xfrm>
        <a:prstGeom prst="roundRect">
          <a:avLst>
            <a:gd name="adj" fmla="val 3807"/>
          </a:avLst>
        </a:prstGeom>
        <a:gradFill>
          <a:gsLst>
            <a:gs pos="7000">
              <a:schemeClr val="accent4">
                <a:lumMod val="75000"/>
              </a:schemeClr>
            </a:gs>
            <a:gs pos="100000">
              <a:schemeClr val="accent1">
                <a:lumMod val="45000"/>
                <a:lumOff val="55000"/>
              </a:schemeClr>
            </a:gs>
            <a:gs pos="84000">
              <a:schemeClr val="accent1">
                <a:lumMod val="30000"/>
                <a:lumOff val="70000"/>
              </a:schemeClr>
            </a:gs>
          </a:gsLst>
          <a:lin ang="16200000" scaled="1"/>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182935</xdr:colOff>
      <xdr:row>5</xdr:row>
      <xdr:rowOff>87967</xdr:rowOff>
    </xdr:from>
    <xdr:to>
      <xdr:col>4</xdr:col>
      <xdr:colOff>237004</xdr:colOff>
      <xdr:row>17</xdr:row>
      <xdr:rowOff>152401</xdr:rowOff>
    </xdr:to>
    <mc:AlternateContent xmlns:mc="http://schemas.openxmlformats.org/markup-compatibility/2006" xmlns:a14="http://schemas.microsoft.com/office/drawing/2010/main">
      <mc:Choice Requires="a14">
        <xdr:graphicFrame macro="">
          <xdr:nvGraphicFramePr>
            <xdr:cNvPr id="41" name="Sales Person 1">
              <a:extLst>
                <a:ext uri="{FF2B5EF4-FFF2-40B4-BE49-F238E27FC236}">
                  <a16:creationId xmlns:a16="http://schemas.microsoft.com/office/drawing/2014/main" id="{AA3E6968-85DC-4CC9-BC50-0B0AB3383812}"/>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82935" y="1040467"/>
              <a:ext cx="2492469" cy="2350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18</xdr:row>
      <xdr:rowOff>28576</xdr:rowOff>
    </xdr:from>
    <xdr:to>
      <xdr:col>4</xdr:col>
      <xdr:colOff>222435</xdr:colOff>
      <xdr:row>30</xdr:row>
      <xdr:rowOff>66676</xdr:rowOff>
    </xdr:to>
    <mc:AlternateContent xmlns:mc="http://schemas.openxmlformats.org/markup-compatibility/2006" xmlns:a14="http://schemas.microsoft.com/office/drawing/2010/main">
      <mc:Choice Requires="a14">
        <xdr:graphicFrame macro="">
          <xdr:nvGraphicFramePr>
            <xdr:cNvPr id="42" name="Product">
              <a:extLst>
                <a:ext uri="{FF2B5EF4-FFF2-40B4-BE49-F238E27FC236}">
                  <a16:creationId xmlns:a16="http://schemas.microsoft.com/office/drawing/2014/main" id="{9363A36B-F89D-4AEC-A971-BDFEC115848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0025" y="3457576"/>
              <a:ext cx="246081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282386</xdr:colOff>
      <xdr:row>5</xdr:row>
      <xdr:rowOff>10646</xdr:rowOff>
    </xdr:from>
    <xdr:to>
      <xdr:col>12</xdr:col>
      <xdr:colOff>50985</xdr:colOff>
      <xdr:row>10</xdr:row>
      <xdr:rowOff>145676</xdr:rowOff>
    </xdr:to>
    <xdr:sp macro="" textlink="">
      <xdr:nvSpPr>
        <xdr:cNvPr id="64" name="Rectangle: Rounded Corners 63">
          <a:extLst>
            <a:ext uri="{FF2B5EF4-FFF2-40B4-BE49-F238E27FC236}">
              <a16:creationId xmlns:a16="http://schemas.microsoft.com/office/drawing/2014/main" id="{B7B7D97A-4713-92AC-9E70-2DEF1585CED1}"/>
            </a:ext>
          </a:extLst>
        </xdr:cNvPr>
        <xdr:cNvSpPr/>
      </xdr:nvSpPr>
      <xdr:spPr>
        <a:xfrm>
          <a:off x="5159186" y="963146"/>
          <a:ext cx="2206999" cy="1087530"/>
        </a:xfrm>
        <a:prstGeom prst="roundRect">
          <a:avLst>
            <a:gd name="adj" fmla="val 20270"/>
          </a:avLst>
        </a:prstGeom>
        <a:gradFill flip="none" rotWithShape="1">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tileRect/>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208989</xdr:colOff>
      <xdr:row>6</xdr:row>
      <xdr:rowOff>55469</xdr:rowOff>
    </xdr:from>
    <xdr:to>
      <xdr:col>12</xdr:col>
      <xdr:colOff>309594</xdr:colOff>
      <xdr:row>8</xdr:row>
      <xdr:rowOff>1809</xdr:rowOff>
    </xdr:to>
    <xdr:sp macro="" textlink="">
      <xdr:nvSpPr>
        <xdr:cNvPr id="66" name="TextBox 65">
          <a:extLst>
            <a:ext uri="{FF2B5EF4-FFF2-40B4-BE49-F238E27FC236}">
              <a16:creationId xmlns:a16="http://schemas.microsoft.com/office/drawing/2014/main" id="{DF099BA0-B7E7-4111-8C6A-34BDA7EB1B26}"/>
            </a:ext>
          </a:extLst>
        </xdr:cNvPr>
        <xdr:cNvSpPr txBox="1"/>
      </xdr:nvSpPr>
      <xdr:spPr>
        <a:xfrm>
          <a:off x="5655048" y="1198469"/>
          <a:ext cx="1915958" cy="327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lumMod val="90000"/>
                  <a:lumOff val="10000"/>
                </a:schemeClr>
              </a:solidFill>
              <a:latin typeface="+mn-lt"/>
              <a:ea typeface="+mn-ea"/>
              <a:cs typeface="+mn-cs"/>
            </a:rPr>
            <a:t>AVERAGE</a:t>
          </a:r>
          <a:r>
            <a:rPr lang="en-IN" sz="1100" b="1" baseline="0">
              <a:solidFill>
                <a:schemeClr val="tx2">
                  <a:lumMod val="90000"/>
                  <a:lumOff val="10000"/>
                </a:schemeClr>
              </a:solidFill>
            </a:rPr>
            <a:t> </a:t>
          </a:r>
          <a:r>
            <a:rPr lang="en-IN" sz="1400" b="1">
              <a:solidFill>
                <a:schemeClr val="tx2">
                  <a:lumMod val="90000"/>
                  <a:lumOff val="10000"/>
                </a:schemeClr>
              </a:solidFill>
              <a:latin typeface="+mn-lt"/>
              <a:ea typeface="+mn-ea"/>
              <a:cs typeface="+mn-cs"/>
            </a:rPr>
            <a:t>SALES</a:t>
          </a:r>
        </a:p>
      </xdr:txBody>
    </xdr:sp>
    <xdr:clientData/>
  </xdr:twoCellAnchor>
  <xdr:twoCellAnchor>
    <xdr:from>
      <xdr:col>9</xdr:col>
      <xdr:colOff>186577</xdr:colOff>
      <xdr:row>7</xdr:row>
      <xdr:rowOff>133911</xdr:rowOff>
    </xdr:from>
    <xdr:to>
      <xdr:col>12</xdr:col>
      <xdr:colOff>287183</xdr:colOff>
      <xdr:row>9</xdr:row>
      <xdr:rowOff>80251</xdr:rowOff>
    </xdr:to>
    <xdr:sp macro="" textlink="Sheet1!K11">
      <xdr:nvSpPr>
        <xdr:cNvPr id="67" name="TextBox 66">
          <a:extLst>
            <a:ext uri="{FF2B5EF4-FFF2-40B4-BE49-F238E27FC236}">
              <a16:creationId xmlns:a16="http://schemas.microsoft.com/office/drawing/2014/main" id="{7850C85C-E1A0-40E2-995C-869FA0999865}"/>
            </a:ext>
          </a:extLst>
        </xdr:cNvPr>
        <xdr:cNvSpPr txBox="1"/>
      </xdr:nvSpPr>
      <xdr:spPr>
        <a:xfrm>
          <a:off x="5632636" y="1467411"/>
          <a:ext cx="1915959" cy="327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D4BE80-D075-429E-BCC0-082EDDE421D2}" type="TxLink">
            <a:rPr lang="en-US" sz="1400" b="0" i="0" u="none" strike="noStrike">
              <a:solidFill>
                <a:srgbClr val="000000"/>
              </a:solidFill>
              <a:latin typeface="Aptos Narrow"/>
            </a:rPr>
            <a:pPr algn="ctr"/>
            <a:t>2,58,890</a:t>
          </a:fld>
          <a:endParaRPr lang="en-IN" sz="1800" b="1">
            <a:solidFill>
              <a:schemeClr val="tx2">
                <a:lumMod val="90000"/>
                <a:lumOff val="10000"/>
              </a:schemeClr>
            </a:solidFill>
          </a:endParaRPr>
        </a:p>
      </xdr:txBody>
    </xdr:sp>
    <xdr:clientData/>
  </xdr:twoCellAnchor>
  <xdr:twoCellAnchor>
    <xdr:from>
      <xdr:col>8</xdr:col>
      <xdr:colOff>455517</xdr:colOff>
      <xdr:row>6</xdr:row>
      <xdr:rowOff>33057</xdr:rowOff>
    </xdr:from>
    <xdr:to>
      <xdr:col>9</xdr:col>
      <xdr:colOff>504264</xdr:colOff>
      <xdr:row>9</xdr:row>
      <xdr:rowOff>118353</xdr:rowOff>
    </xdr:to>
    <xdr:pic>
      <xdr:nvPicPr>
        <xdr:cNvPr id="68" name="Graphic 67" descr="Coins outline">
          <a:extLst>
            <a:ext uri="{FF2B5EF4-FFF2-40B4-BE49-F238E27FC236}">
              <a16:creationId xmlns:a16="http://schemas.microsoft.com/office/drawing/2014/main" id="{8853F1C3-F137-4931-838D-1C11A7AB14A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96458" y="1176057"/>
          <a:ext cx="653865" cy="656796"/>
        </a:xfrm>
        <a:prstGeom prst="rect">
          <a:avLst/>
        </a:prstGeom>
      </xdr:spPr>
    </xdr:pic>
    <xdr:clientData/>
  </xdr:twoCellAnchor>
  <xdr:twoCellAnchor>
    <xdr:from>
      <xdr:col>16</xdr:col>
      <xdr:colOff>239804</xdr:colOff>
      <xdr:row>5</xdr:row>
      <xdr:rowOff>6166</xdr:rowOff>
    </xdr:from>
    <xdr:to>
      <xdr:col>20</xdr:col>
      <xdr:colOff>285750</xdr:colOff>
      <xdr:row>10</xdr:row>
      <xdr:rowOff>151841</xdr:rowOff>
    </xdr:to>
    <xdr:sp macro="" textlink="">
      <xdr:nvSpPr>
        <xdr:cNvPr id="69" name="Rectangle: Rounded Corners 68">
          <a:extLst>
            <a:ext uri="{FF2B5EF4-FFF2-40B4-BE49-F238E27FC236}">
              <a16:creationId xmlns:a16="http://schemas.microsoft.com/office/drawing/2014/main" id="{CE596E48-5C9E-4BA9-F495-537080C7F640}"/>
            </a:ext>
          </a:extLst>
        </xdr:cNvPr>
        <xdr:cNvSpPr/>
      </xdr:nvSpPr>
      <xdr:spPr>
        <a:xfrm>
          <a:off x="9993404" y="958666"/>
          <a:ext cx="2455771" cy="1098175"/>
        </a:xfrm>
        <a:prstGeom prst="roundRect">
          <a:avLst>
            <a:gd name="adj" fmla="val 20270"/>
          </a:avLst>
        </a:prstGeom>
        <a:gradFill flip="none" rotWithShape="1">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tileRect/>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372593</xdr:colOff>
      <xdr:row>7</xdr:row>
      <xdr:rowOff>123265</xdr:rowOff>
    </xdr:from>
    <xdr:to>
      <xdr:col>16</xdr:col>
      <xdr:colOff>204236</xdr:colOff>
      <xdr:row>8</xdr:row>
      <xdr:rowOff>182613</xdr:rowOff>
    </xdr:to>
    <xdr:sp macro="" textlink="Sheet1!K5">
      <xdr:nvSpPr>
        <xdr:cNvPr id="70" name="TextBox 69">
          <a:extLst>
            <a:ext uri="{FF2B5EF4-FFF2-40B4-BE49-F238E27FC236}">
              <a16:creationId xmlns:a16="http://schemas.microsoft.com/office/drawing/2014/main" id="{9E4FDB69-61FF-4E59-A115-0A5AA1B1D6B8}"/>
            </a:ext>
          </a:extLst>
        </xdr:cNvPr>
        <xdr:cNvSpPr txBox="1"/>
      </xdr:nvSpPr>
      <xdr:spPr>
        <a:xfrm>
          <a:off x="8239122" y="1456765"/>
          <a:ext cx="1646996" cy="249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FF7EF4-BA96-4292-8E6F-06827FFC9A3D}" type="TxLink">
            <a:rPr lang="en-US" sz="1400" b="0" i="0" u="none" strike="noStrike">
              <a:solidFill>
                <a:srgbClr val="000000"/>
              </a:solidFill>
              <a:latin typeface="Aptos Narrow"/>
            </a:rPr>
            <a:pPr algn="ctr"/>
            <a:t> 4,705 </a:t>
          </a:fld>
          <a:endParaRPr lang="en-IN" sz="1800" b="1">
            <a:solidFill>
              <a:schemeClr val="tx2">
                <a:lumMod val="90000"/>
                <a:lumOff val="10000"/>
              </a:schemeClr>
            </a:solidFill>
          </a:endParaRPr>
        </a:p>
      </xdr:txBody>
    </xdr:sp>
    <xdr:clientData/>
  </xdr:twoCellAnchor>
  <xdr:twoCellAnchor>
    <xdr:from>
      <xdr:col>13</xdr:col>
      <xdr:colOff>361387</xdr:colOff>
      <xdr:row>6</xdr:row>
      <xdr:rowOff>56030</xdr:rowOff>
    </xdr:from>
    <xdr:to>
      <xdr:col>16</xdr:col>
      <xdr:colOff>193031</xdr:colOff>
      <xdr:row>7</xdr:row>
      <xdr:rowOff>115378</xdr:rowOff>
    </xdr:to>
    <xdr:sp macro="" textlink="">
      <xdr:nvSpPr>
        <xdr:cNvPr id="71" name="TextBox 70">
          <a:extLst>
            <a:ext uri="{FF2B5EF4-FFF2-40B4-BE49-F238E27FC236}">
              <a16:creationId xmlns:a16="http://schemas.microsoft.com/office/drawing/2014/main" id="{E9FFBC58-8A42-4FF1-AEF9-937B9AFC9E6A}"/>
            </a:ext>
          </a:extLst>
        </xdr:cNvPr>
        <xdr:cNvSpPr txBox="1"/>
      </xdr:nvSpPr>
      <xdr:spPr>
        <a:xfrm>
          <a:off x="8227916" y="1199030"/>
          <a:ext cx="1646997" cy="249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lumMod val="90000"/>
                  <a:lumOff val="10000"/>
                </a:schemeClr>
              </a:solidFill>
              <a:latin typeface="+mn-lt"/>
              <a:ea typeface="+mn-ea"/>
              <a:cs typeface="+mn-cs"/>
            </a:rPr>
            <a:t>UNIT SOLD</a:t>
          </a:r>
        </a:p>
      </xdr:txBody>
    </xdr:sp>
    <xdr:clientData/>
  </xdr:twoCellAnchor>
  <xdr:twoCellAnchor editAs="oneCell">
    <xdr:from>
      <xdr:col>16</xdr:col>
      <xdr:colOff>495861</xdr:colOff>
      <xdr:row>6</xdr:row>
      <xdr:rowOff>33619</xdr:rowOff>
    </xdr:from>
    <xdr:to>
      <xdr:col>17</xdr:col>
      <xdr:colOff>560295</xdr:colOff>
      <xdr:row>9</xdr:row>
      <xdr:rowOff>78441</xdr:rowOff>
    </xdr:to>
    <xdr:pic>
      <xdr:nvPicPr>
        <xdr:cNvPr id="72" name="Graphic 71" descr="Upward trend outline">
          <a:extLst>
            <a:ext uri="{FF2B5EF4-FFF2-40B4-BE49-F238E27FC236}">
              <a16:creationId xmlns:a16="http://schemas.microsoft.com/office/drawing/2014/main" id="{E5E0F5EA-6F0F-4BF5-BCEF-F3EE10E054F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77743" y="1176619"/>
          <a:ext cx="669552" cy="616322"/>
        </a:xfrm>
        <a:prstGeom prst="rect">
          <a:avLst/>
        </a:prstGeom>
      </xdr:spPr>
    </xdr:pic>
    <xdr:clientData/>
  </xdr:twoCellAnchor>
  <xdr:twoCellAnchor>
    <xdr:from>
      <xdr:col>17</xdr:col>
      <xdr:colOff>428625</xdr:colOff>
      <xdr:row>6</xdr:row>
      <xdr:rowOff>44826</xdr:rowOff>
    </xdr:from>
    <xdr:to>
      <xdr:col>20</xdr:col>
      <xdr:colOff>280249</xdr:colOff>
      <xdr:row>7</xdr:row>
      <xdr:rowOff>104174</xdr:rowOff>
    </xdr:to>
    <xdr:sp macro="" textlink="">
      <xdr:nvSpPr>
        <xdr:cNvPr id="74" name="TextBox 73">
          <a:extLst>
            <a:ext uri="{FF2B5EF4-FFF2-40B4-BE49-F238E27FC236}">
              <a16:creationId xmlns:a16="http://schemas.microsoft.com/office/drawing/2014/main" id="{4B5BB800-299F-4801-B00D-C98C3C1AE66D}"/>
            </a:ext>
          </a:extLst>
        </xdr:cNvPr>
        <xdr:cNvSpPr txBox="1"/>
      </xdr:nvSpPr>
      <xdr:spPr>
        <a:xfrm>
          <a:off x="10715625" y="1187826"/>
          <a:ext cx="1644565" cy="249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lumMod val="90000"/>
                  <a:lumOff val="10000"/>
                </a:schemeClr>
              </a:solidFill>
              <a:latin typeface="+mn-lt"/>
              <a:ea typeface="+mn-ea"/>
              <a:cs typeface="+mn-cs"/>
            </a:rPr>
            <a:t>PROFIT</a:t>
          </a:r>
        </a:p>
      </xdr:txBody>
    </xdr:sp>
    <xdr:clientData/>
  </xdr:twoCellAnchor>
  <xdr:twoCellAnchor>
    <xdr:from>
      <xdr:col>17</xdr:col>
      <xdr:colOff>439829</xdr:colOff>
      <xdr:row>7</xdr:row>
      <xdr:rowOff>89650</xdr:rowOff>
    </xdr:from>
    <xdr:to>
      <xdr:col>20</xdr:col>
      <xdr:colOff>291453</xdr:colOff>
      <xdr:row>8</xdr:row>
      <xdr:rowOff>148998</xdr:rowOff>
    </xdr:to>
    <xdr:sp macro="" textlink="Sheet1!K8">
      <xdr:nvSpPr>
        <xdr:cNvPr id="76" name="TextBox 75">
          <a:extLst>
            <a:ext uri="{FF2B5EF4-FFF2-40B4-BE49-F238E27FC236}">
              <a16:creationId xmlns:a16="http://schemas.microsoft.com/office/drawing/2014/main" id="{C908107E-10D1-43BE-8231-50759070DFE2}"/>
            </a:ext>
          </a:extLst>
        </xdr:cNvPr>
        <xdr:cNvSpPr txBox="1"/>
      </xdr:nvSpPr>
      <xdr:spPr>
        <a:xfrm>
          <a:off x="10726829" y="1423150"/>
          <a:ext cx="1644565" cy="249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D4767A-4F42-4FDD-AA93-301499D40505}" type="TxLink">
            <a:rPr lang="en-US" sz="1400" b="0" i="0" u="none" strike="noStrike">
              <a:solidFill>
                <a:srgbClr val="000000"/>
              </a:solidFill>
              <a:latin typeface="Aptos Narrow"/>
            </a:rPr>
            <a:pPr algn="ctr"/>
            <a:t> 38,34,400 </a:t>
          </a:fld>
          <a:endParaRPr lang="en-IN" sz="1800" b="1">
            <a:solidFill>
              <a:schemeClr val="tx2">
                <a:lumMod val="90000"/>
                <a:lumOff val="10000"/>
              </a:schemeClr>
            </a:solidFill>
          </a:endParaRPr>
        </a:p>
      </xdr:txBody>
    </xdr:sp>
    <xdr:clientData/>
  </xdr:twoCellAnchor>
  <xdr:twoCellAnchor>
    <xdr:from>
      <xdr:col>4</xdr:col>
      <xdr:colOff>404528</xdr:colOff>
      <xdr:row>21</xdr:row>
      <xdr:rowOff>41462</xdr:rowOff>
    </xdr:from>
    <xdr:to>
      <xdr:col>12</xdr:col>
      <xdr:colOff>171450</xdr:colOff>
      <xdr:row>30</xdr:row>
      <xdr:rowOff>152400</xdr:rowOff>
    </xdr:to>
    <xdr:sp macro="" textlink="">
      <xdr:nvSpPr>
        <xdr:cNvPr id="81" name="Rectangle: Rounded Corners 80">
          <a:extLst>
            <a:ext uri="{FF2B5EF4-FFF2-40B4-BE49-F238E27FC236}">
              <a16:creationId xmlns:a16="http://schemas.microsoft.com/office/drawing/2014/main" id="{4E1ED0D9-C4A4-1550-3E06-F44CDE98A0C8}"/>
            </a:ext>
          </a:extLst>
        </xdr:cNvPr>
        <xdr:cNvSpPr/>
      </xdr:nvSpPr>
      <xdr:spPr>
        <a:xfrm>
          <a:off x="2842928" y="4041962"/>
          <a:ext cx="4643722" cy="1825438"/>
        </a:xfrm>
        <a:prstGeom prst="roundRect">
          <a:avLst>
            <a:gd name="adj" fmla="val 8287"/>
          </a:avLst>
        </a:prstGeom>
        <a:gradFill>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11205</xdr:colOff>
      <xdr:row>21</xdr:row>
      <xdr:rowOff>28575</xdr:rowOff>
    </xdr:from>
    <xdr:to>
      <xdr:col>12</xdr:col>
      <xdr:colOff>251011</xdr:colOff>
      <xdr:row>31</xdr:row>
      <xdr:rowOff>1</xdr:rowOff>
    </xdr:to>
    <xdr:graphicFrame macro="">
      <xdr:nvGraphicFramePr>
        <xdr:cNvPr id="82" name="Chart 81">
          <a:extLst>
            <a:ext uri="{FF2B5EF4-FFF2-40B4-BE49-F238E27FC236}">
              <a16:creationId xmlns:a16="http://schemas.microsoft.com/office/drawing/2014/main" id="{4A10779F-077A-4A17-A4C6-68DA8A40A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254933</xdr:colOff>
      <xdr:row>21</xdr:row>
      <xdr:rowOff>44822</xdr:rowOff>
    </xdr:from>
    <xdr:to>
      <xdr:col>20</xdr:col>
      <xdr:colOff>215714</xdr:colOff>
      <xdr:row>30</xdr:row>
      <xdr:rowOff>152400</xdr:rowOff>
    </xdr:to>
    <xdr:sp macro="" textlink="">
      <xdr:nvSpPr>
        <xdr:cNvPr id="84" name="Rectangle: Rounded Corners 83">
          <a:extLst>
            <a:ext uri="{FF2B5EF4-FFF2-40B4-BE49-F238E27FC236}">
              <a16:creationId xmlns:a16="http://schemas.microsoft.com/office/drawing/2014/main" id="{7085D10E-14E1-298D-EE43-00F046C6F12C}"/>
            </a:ext>
          </a:extLst>
        </xdr:cNvPr>
        <xdr:cNvSpPr/>
      </xdr:nvSpPr>
      <xdr:spPr>
        <a:xfrm>
          <a:off x="7570133" y="4045322"/>
          <a:ext cx="4809006" cy="1822078"/>
        </a:xfrm>
        <a:prstGeom prst="roundRect">
          <a:avLst>
            <a:gd name="adj" fmla="val 7800"/>
          </a:avLst>
        </a:prstGeom>
        <a:gradFill flip="none" rotWithShape="1">
          <a:gsLst>
            <a:gs pos="8000">
              <a:srgbClr val="DCF0FA"/>
            </a:gs>
            <a:gs pos="0">
              <a:schemeClr val="accent1">
                <a:lumMod val="5000"/>
                <a:lumOff val="95000"/>
              </a:schemeClr>
            </a:gs>
            <a:gs pos="100000">
              <a:schemeClr val="accent1">
                <a:lumMod val="45000"/>
                <a:lumOff val="55000"/>
              </a:schemeClr>
            </a:gs>
            <a:gs pos="48000">
              <a:schemeClr val="accent1">
                <a:lumMod val="30000"/>
                <a:lumOff val="70000"/>
              </a:schemeClr>
            </a:gs>
          </a:gsLst>
          <a:lin ang="16200000" scaled="1"/>
          <a:tileRect/>
        </a:gradFill>
        <a:ln>
          <a:noFill/>
        </a:ln>
        <a:effectLst>
          <a:outerShdw blurRad="50800" dist="38100" dir="2700000" algn="tl" rotWithShape="0">
            <a:prstClr val="black">
              <a:alpha val="40000"/>
            </a:prstClr>
          </a:outerShdw>
          <a:reflection blurRad="1270000" stA="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281828</xdr:colOff>
      <xdr:row>22</xdr:row>
      <xdr:rowOff>104775</xdr:rowOff>
    </xdr:from>
    <xdr:to>
      <xdr:col>21</xdr:col>
      <xdr:colOff>161925</xdr:colOff>
      <xdr:row>32</xdr:row>
      <xdr:rowOff>95250</xdr:rowOff>
    </xdr:to>
    <xdr:graphicFrame macro="">
      <xdr:nvGraphicFramePr>
        <xdr:cNvPr id="85" name="Chart 84">
          <a:extLst>
            <a:ext uri="{FF2B5EF4-FFF2-40B4-BE49-F238E27FC236}">
              <a16:creationId xmlns:a16="http://schemas.microsoft.com/office/drawing/2014/main" id="{02D1E16B-1C40-43A3-A47F-0C78807D8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352425</xdr:colOff>
      <xdr:row>11</xdr:row>
      <xdr:rowOff>114300</xdr:rowOff>
    </xdr:from>
    <xdr:to>
      <xdr:col>14</xdr:col>
      <xdr:colOff>561975</xdr:colOff>
      <xdr:row>13</xdr:row>
      <xdr:rowOff>38100</xdr:rowOff>
    </xdr:to>
    <xdr:sp macro="" textlink="">
      <xdr:nvSpPr>
        <xdr:cNvPr id="1025" name="Text Box 1">
          <a:extLst>
            <a:ext uri="{FF2B5EF4-FFF2-40B4-BE49-F238E27FC236}">
              <a16:creationId xmlns:a16="http://schemas.microsoft.com/office/drawing/2014/main" id="{D8C390D1-D269-B774-4FE5-3876457205F4}"/>
            </a:ext>
          </a:extLst>
        </xdr:cNvPr>
        <xdr:cNvSpPr txBox="1">
          <a:spLocks noChangeArrowheads="1"/>
        </xdr:cNvSpPr>
      </xdr:nvSpPr>
      <xdr:spPr bwMode="auto">
        <a:xfrm>
          <a:off x="7667625" y="2209800"/>
          <a:ext cx="1428750" cy="30480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100" b="1" i="0" u="none" strike="noStrike" baseline="0">
              <a:solidFill>
                <a:schemeClr val="accent4">
                  <a:lumMod val="50000"/>
                </a:schemeClr>
              </a:solidFill>
              <a:latin typeface="Aptos Narrow"/>
            </a:rPr>
            <a:t>Total</a:t>
          </a:r>
          <a:r>
            <a:rPr lang="en-IN" sz="1100" b="1" i="0" u="none" strike="noStrike" baseline="0">
              <a:solidFill>
                <a:schemeClr val="accent4">
                  <a:lumMod val="75000"/>
                </a:schemeClr>
              </a:solidFill>
              <a:latin typeface="Aptos Narrow"/>
            </a:rPr>
            <a:t> </a:t>
          </a:r>
          <a:r>
            <a:rPr lang="en-IN" sz="1100" b="1" i="0" u="none" strike="noStrike" baseline="0">
              <a:solidFill>
                <a:schemeClr val="accent4">
                  <a:lumMod val="50000"/>
                </a:schemeClr>
              </a:solidFill>
              <a:latin typeface="Aptos Narrow"/>
            </a:rPr>
            <a:t>Sales by Region</a:t>
          </a:r>
        </a:p>
      </xdr:txBody>
    </xdr:sp>
    <xdr:clientData/>
  </xdr:twoCellAnchor>
  <xdr:twoCellAnchor>
    <xdr:from>
      <xdr:col>4</xdr:col>
      <xdr:colOff>504825</xdr:colOff>
      <xdr:row>21</xdr:row>
      <xdr:rowOff>95250</xdr:rowOff>
    </xdr:from>
    <xdr:to>
      <xdr:col>7</xdr:col>
      <xdr:colOff>466725</xdr:colOff>
      <xdr:row>22</xdr:row>
      <xdr:rowOff>123825</xdr:rowOff>
    </xdr:to>
    <xdr:sp macro="" textlink="">
      <xdr:nvSpPr>
        <xdr:cNvPr id="1027" name="Text Box 3">
          <a:extLst>
            <a:ext uri="{FF2B5EF4-FFF2-40B4-BE49-F238E27FC236}">
              <a16:creationId xmlns:a16="http://schemas.microsoft.com/office/drawing/2014/main" id="{54E7DD16-189E-C43F-6232-928312E9C58F}"/>
            </a:ext>
          </a:extLst>
        </xdr:cNvPr>
        <xdr:cNvSpPr txBox="1">
          <a:spLocks noChangeArrowheads="1"/>
        </xdr:cNvSpPr>
      </xdr:nvSpPr>
      <xdr:spPr bwMode="auto">
        <a:xfrm>
          <a:off x="2943225" y="4095750"/>
          <a:ext cx="1790700" cy="219075"/>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100" b="1" i="0" u="none" strike="noStrike" baseline="0">
              <a:solidFill>
                <a:schemeClr val="accent4">
                  <a:lumMod val="50000"/>
                </a:schemeClr>
              </a:solidFill>
              <a:latin typeface="Aptos Narrow"/>
            </a:rPr>
            <a:t>Total Sales by Sales Person</a:t>
          </a:r>
        </a:p>
      </xdr:txBody>
    </xdr:sp>
    <xdr:clientData/>
  </xdr:twoCellAnchor>
  <xdr:twoCellAnchor>
    <xdr:from>
      <xdr:col>12</xdr:col>
      <xdr:colOff>361950</xdr:colOff>
      <xdr:row>21</xdr:row>
      <xdr:rowOff>66675</xdr:rowOff>
    </xdr:from>
    <xdr:to>
      <xdr:col>14</xdr:col>
      <xdr:colOff>523875</xdr:colOff>
      <xdr:row>22</xdr:row>
      <xdr:rowOff>133350</xdr:rowOff>
    </xdr:to>
    <xdr:sp macro="" textlink="">
      <xdr:nvSpPr>
        <xdr:cNvPr id="1028" name="Text Box 4">
          <a:extLst>
            <a:ext uri="{FF2B5EF4-FFF2-40B4-BE49-F238E27FC236}">
              <a16:creationId xmlns:a16="http://schemas.microsoft.com/office/drawing/2014/main" id="{3232D708-D736-3C7E-8C7E-B549F93C9366}"/>
            </a:ext>
          </a:extLst>
        </xdr:cNvPr>
        <xdr:cNvSpPr txBox="1">
          <a:spLocks noChangeArrowheads="1"/>
        </xdr:cNvSpPr>
      </xdr:nvSpPr>
      <xdr:spPr bwMode="auto">
        <a:xfrm>
          <a:off x="7677150" y="4067175"/>
          <a:ext cx="1381125" cy="257175"/>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100" b="1" i="0" u="none" strike="noStrike" baseline="0">
              <a:solidFill>
                <a:schemeClr val="accent4">
                  <a:lumMod val="50000"/>
                </a:schemeClr>
              </a:solidFill>
              <a:latin typeface="Aptos Narrow"/>
            </a:rPr>
            <a:t>Total Sales by Product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5.508524189812" createdVersion="8" refreshedVersion="8" minRefreshableVersion="3" recordCount="50" xr:uid="{F14C0BCC-78E7-4A50-A841-C13CDF2229FB}">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0">
      <sharedItems containsSemiMixedTypes="0" containsString="0" containsNumber="1" containsInteger="1" minValue="600" maxValue="10000"/>
    </cacheField>
    <cacheField name="Cost of Goods" numFmtId="0">
      <sharedItems containsSemiMixedTypes="0" containsString="0" containsNumber="1" containsInteger="1" minValue="400" maxValue="7000"/>
    </cacheField>
    <cacheField name="Total Sales" numFmtId="3">
      <sharedItems containsSemiMixedTypes="0" containsString="0" containsNumber="1" containsInteger="1" minValue="34200" maxValue="1270000"/>
    </cacheField>
    <cacheField name="Profit" numFmtId="0">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87721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68A2D-AC16-4214-86B9-79F71E35F0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3:K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showAll="0"/>
    <pivotField showAll="0"/>
    <pivotField numFmtId="3" showAll="0"/>
    <pivotField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12"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E239B-D05B-4CC4-A3E8-061DC8EDFD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showAll="0"/>
    <pivotField showAll="0"/>
    <pivotField dataField="1" numFmtId="3" showAll="0"/>
    <pivotField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4"/>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BAE79-139D-4C4C-84E2-D7008050BC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showAll="0"/>
    <pivotField showAll="0"/>
    <pivotField dataField="1" numFmtId="3" showAll="0"/>
    <pivotField showAll="0"/>
  </pivotFields>
  <rowFields count="1">
    <field x="3"/>
  </rowFields>
  <rowItems count="8">
    <i>
      <x/>
    </i>
    <i>
      <x v="1"/>
    </i>
    <i>
      <x v="2"/>
    </i>
    <i>
      <x v="3"/>
    </i>
    <i>
      <x v="4"/>
    </i>
    <i>
      <x v="5"/>
    </i>
    <i>
      <x v="6"/>
    </i>
    <i t="grand">
      <x/>
    </i>
  </rowItems>
  <colItems count="1">
    <i/>
  </colItems>
  <dataFields count="1">
    <dataField name="Sum of Total Sales" fld="7" baseField="3" baseItem="0" numFmtId="164"/>
  </dataFields>
  <chartFormats count="1">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F06D3-8A97-44BA-9C2E-5175EDD73E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showAll="0"/>
    <pivotField showAll="0"/>
    <pivotField dataField="1" numFmtId="3" showAll="0"/>
    <pivotField showAll="0"/>
  </pivotFields>
  <rowFields count="1">
    <field x="2"/>
  </rowFields>
  <rowItems count="5">
    <i>
      <x/>
    </i>
    <i>
      <x v="1"/>
    </i>
    <i>
      <x v="2"/>
    </i>
    <i>
      <x v="3"/>
    </i>
    <i t="grand">
      <x/>
    </i>
  </rowItems>
  <colItems count="1">
    <i/>
  </colItems>
  <dataFields count="1">
    <dataField name="Sum of Total Sales" fld="7" baseField="2" baseItem="0" numFmtId="164"/>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1" format="8">
      <pivotArea type="data" outline="0" fieldPosition="0">
        <references count="2">
          <reference field="4294967294" count="1" selected="0">
            <x v="0"/>
          </reference>
          <reference field="2" count="1" selected="0">
            <x v="2"/>
          </reference>
        </references>
      </pivotArea>
    </chartFormat>
    <chartFormat chart="1" format="9">
      <pivotArea type="data" outline="0" fieldPosition="0">
        <references count="2">
          <reference field="4294967294" count="1" selected="0">
            <x v="0"/>
          </reference>
          <reference field="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FF9FCCD-A9B0-40A0-A3F5-B0830176A825}" sourceName="Sales Person">
  <pivotTables>
    <pivotTable tabId="2" name="PivotTable1"/>
    <pivotTable tabId="2" name="PivotTable2"/>
    <pivotTable tabId="2" name="PivotTable3"/>
    <pivotTable tabId="2" name="PivotTable4"/>
  </pivotTables>
  <data>
    <tabular pivotCacheId="1877212800">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FBCA4E-DB19-42A1-BA78-B017EC3DD86C}" sourceName="Product">
  <pivotTables>
    <pivotTable tabId="2" name="PivotTable1"/>
    <pivotTable tabId="2" name="PivotTable2"/>
    <pivotTable tabId="2" name="PivotTable3"/>
    <pivotTable tabId="2" name="PivotTable4"/>
  </pivotTables>
  <data>
    <tabular pivotCacheId="1877212800">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70DE423F-00FC-40A0-B65F-022B30ADB3F8}" cache="Slicer_Sales_Person" caption="Sales Person" rowHeight="257175"/>
  <slicer name="Product" xr10:uid="{04D3D69D-865B-4F3F-B483-D47571872623}"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CAC3D-54F5-4405-8E95-FB8281154DC8}" name="Table2" displayName="Table2" ref="A3:I15" totalsRowShown="0">
  <autoFilter ref="A3:I15" xr:uid="{17DCAC3D-54F5-4405-8E95-FB8281154DC8}"/>
  <tableColumns count="9">
    <tableColumn id="1" xr3:uid="{7BB505D4-D104-4CF0-B5EC-04D7370220AF}" name="Date" dataDxfId="12"/>
    <tableColumn id="2" xr3:uid="{AB75B289-7AF1-4BF3-A85A-901E84E61948}" name="Sales Person"/>
    <tableColumn id="3" xr3:uid="{2C5FBB94-09CC-4262-9418-2511F26BD987}" name="Region"/>
    <tableColumn id="4" xr3:uid="{06431215-9347-458F-9883-9BACA04E417D}" name="Product"/>
    <tableColumn id="5" xr3:uid="{11D835A8-9055-4D09-87B1-D81DE31C9817}" name="Units Sold"/>
    <tableColumn id="6" xr3:uid="{4658E674-0F95-47A2-8F17-D62B0153207C}" name="Unit Price"/>
    <tableColumn id="7" xr3:uid="{0A5D876F-6631-432C-B103-B5D02D267FE0}" name="Cost of Goods"/>
    <tableColumn id="8" xr3:uid="{6E56A810-042E-4B59-B4B8-931D2E45F78B}" name="Total Sales"/>
    <tableColumn id="9" xr3:uid="{CB0BA76A-29E8-429A-8E99-D56D3C41C410}"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B6B428-F79E-451E-A499-CCFEF9CAD936}" name="Table3" displayName="Table3" ref="A3:I9" totalsRowShown="0">
  <autoFilter ref="A3:I9" xr:uid="{9CB6B428-F79E-451E-A499-CCFEF9CAD936}"/>
  <tableColumns count="9">
    <tableColumn id="1" xr3:uid="{DC6BFB35-3401-4786-B461-64A1DC848003}" name="Date" dataDxfId="11"/>
    <tableColumn id="2" xr3:uid="{0535576B-EC84-437E-9126-923E8898ACE5}" name="Sales Person"/>
    <tableColumn id="3" xr3:uid="{290A14F1-8E1B-41FB-BDB1-8E6E6D17BBD2}" name="Region"/>
    <tableColumn id="4" xr3:uid="{E10E9C12-6D2F-4242-ACAA-00C8CA5E655A}" name="Product"/>
    <tableColumn id="5" xr3:uid="{C9339703-974A-41F6-BFF4-4764BE727E83}" name="Units Sold"/>
    <tableColumn id="6" xr3:uid="{E788428E-765F-4787-B8B4-1FCF0E767B7D}" name="Unit Price"/>
    <tableColumn id="7" xr3:uid="{C52F3E66-2B01-4D20-B580-94343F49C7C3}" name="Cost of Goods"/>
    <tableColumn id="8" xr3:uid="{6D8034A4-D226-439D-B3AD-901E5881A608}" name="Total Sales"/>
    <tableColumn id="9" xr3:uid="{F3AFFF87-C2DF-45E3-B74B-20CC33E53E24}"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FEE5DC-68CF-44EB-897E-6C3E820995FF}" name="Table1" displayName="Table1" ref="A1:I51" totalsRowShown="0" headerRowDxfId="10" dataDxfId="9" tableBorderDxfId="8">
  <autoFilter ref="A1:I51" xr:uid="{E5FEE5DC-68CF-44EB-897E-6C3E820995FF}"/>
  <tableColumns count="9">
    <tableColumn id="1" xr3:uid="{4E5F0033-039D-4DCD-BFE3-C790DEEFC0C9}" name="Date" dataDxfId="7"/>
    <tableColumn id="2" xr3:uid="{26F2CA6C-49ED-4C5D-A0CF-D796E127F2F4}" name="Sales Person" dataDxfId="6"/>
    <tableColumn id="3" xr3:uid="{B8360F4A-5193-4B0C-A0EB-A14BC7296F52}" name="Region" dataDxfId="5"/>
    <tableColumn id="4" xr3:uid="{90D2B4A4-5FA4-4446-BB06-CF5EB24B3260}" name="Product" dataDxfId="4"/>
    <tableColumn id="5" xr3:uid="{44BEC304-1CFE-4507-A65B-9C8B69E4CBF7}" name="Units Sold" dataDxfId="3"/>
    <tableColumn id="6" xr3:uid="{9815163E-0C93-45BC-AC49-741910ACBDF5}" name="Unit Price" dataDxfId="2"/>
    <tableColumn id="7" xr3:uid="{44671C0C-707B-46B5-8614-C27AB19B7ADD}" name="Cost of Goods" dataDxfId="1"/>
    <tableColumn id="8" xr3:uid="{AA5EEAC1-5E3B-4248-AED1-9A8FA2B7BC78}" name="Total Sales" dataDxfId="0"/>
    <tableColumn id="9" xr3:uid="{637A7464-6BF8-4A4C-B902-E6EE07C17EA4}" name="Profit">
      <calculatedColumnFormula>H2-(G2*E2)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7AB2-204B-4C77-875C-538C0B9507A6}">
  <dimension ref="A1:I15"/>
  <sheetViews>
    <sheetView workbookViewId="0">
      <selection activeCell="B4" sqref="B4"/>
    </sheetView>
  </sheetViews>
  <sheetFormatPr defaultRowHeight="15" x14ac:dyDescent="0.25"/>
  <cols>
    <col min="1" max="1" width="10.42578125" bestFit="1" customWidth="1"/>
    <col min="2" max="2" width="14.85546875" bestFit="1" customWidth="1"/>
    <col min="3" max="3" width="9.5703125" bestFit="1" customWidth="1"/>
    <col min="4" max="5" width="12.42578125" bestFit="1" customWidth="1"/>
    <col min="6" max="6" width="12" bestFit="1" customWidth="1"/>
    <col min="7" max="7" width="16.28515625" bestFit="1" customWidth="1"/>
    <col min="8" max="8" width="13" bestFit="1" customWidth="1"/>
    <col min="9" max="9" width="9.28515625" bestFit="1" customWidth="1"/>
  </cols>
  <sheetData>
    <row r="1" spans="1:9" x14ac:dyDescent="0.25">
      <c r="A1" s="16" t="s">
        <v>38</v>
      </c>
    </row>
    <row r="3" spans="1:9" x14ac:dyDescent="0.25">
      <c r="A3" t="s">
        <v>0</v>
      </c>
      <c r="B3" t="s">
        <v>1</v>
      </c>
      <c r="C3" t="s">
        <v>2</v>
      </c>
      <c r="D3" t="s">
        <v>3</v>
      </c>
      <c r="E3" t="s">
        <v>4</v>
      </c>
      <c r="F3" t="s">
        <v>5</v>
      </c>
      <c r="G3" t="s">
        <v>6</v>
      </c>
      <c r="H3" t="s">
        <v>7</v>
      </c>
      <c r="I3" t="s">
        <v>29</v>
      </c>
    </row>
    <row r="4" spans="1:9" x14ac:dyDescent="0.25">
      <c r="A4" s="4">
        <v>43958</v>
      </c>
      <c r="B4" t="s">
        <v>11</v>
      </c>
      <c r="C4" t="s">
        <v>12</v>
      </c>
      <c r="D4" t="s">
        <v>10</v>
      </c>
      <c r="E4">
        <v>73</v>
      </c>
      <c r="F4">
        <v>6000</v>
      </c>
      <c r="G4">
        <v>4000</v>
      </c>
      <c r="H4">
        <v>438000</v>
      </c>
      <c r="I4">
        <v>146000</v>
      </c>
    </row>
    <row r="5" spans="1:9" x14ac:dyDescent="0.25">
      <c r="A5" s="4">
        <v>44446</v>
      </c>
      <c r="B5" t="s">
        <v>11</v>
      </c>
      <c r="C5" t="s">
        <v>12</v>
      </c>
      <c r="D5" t="s">
        <v>13</v>
      </c>
      <c r="E5">
        <v>128</v>
      </c>
      <c r="F5">
        <v>3500</v>
      </c>
      <c r="G5">
        <v>2500</v>
      </c>
      <c r="H5">
        <v>448000</v>
      </c>
      <c r="I5">
        <v>128000</v>
      </c>
    </row>
    <row r="6" spans="1:9" x14ac:dyDescent="0.25">
      <c r="A6" s="4">
        <v>44193</v>
      </c>
      <c r="B6" t="s">
        <v>25</v>
      </c>
      <c r="C6" t="s">
        <v>12</v>
      </c>
      <c r="D6" t="s">
        <v>21</v>
      </c>
      <c r="E6">
        <v>61</v>
      </c>
      <c r="F6">
        <v>4000</v>
      </c>
      <c r="G6">
        <v>3000</v>
      </c>
      <c r="H6">
        <v>244000</v>
      </c>
      <c r="I6">
        <v>61000</v>
      </c>
    </row>
    <row r="7" spans="1:9" x14ac:dyDescent="0.25">
      <c r="A7" s="4">
        <v>44322</v>
      </c>
      <c r="B7" t="s">
        <v>14</v>
      </c>
      <c r="C7" t="s">
        <v>12</v>
      </c>
      <c r="D7" t="s">
        <v>13</v>
      </c>
      <c r="E7">
        <v>66</v>
      </c>
      <c r="F7">
        <v>3500</v>
      </c>
      <c r="G7">
        <v>2500</v>
      </c>
      <c r="H7">
        <v>231000</v>
      </c>
      <c r="I7">
        <v>66000</v>
      </c>
    </row>
    <row r="8" spans="1:9" x14ac:dyDescent="0.25">
      <c r="A8" s="4">
        <v>44109</v>
      </c>
      <c r="B8" t="s">
        <v>14</v>
      </c>
      <c r="C8" t="s">
        <v>12</v>
      </c>
      <c r="D8" t="s">
        <v>26</v>
      </c>
      <c r="E8">
        <v>90</v>
      </c>
      <c r="F8">
        <v>600</v>
      </c>
      <c r="G8">
        <v>400</v>
      </c>
      <c r="H8">
        <v>54000</v>
      </c>
      <c r="I8">
        <v>18000</v>
      </c>
    </row>
    <row r="9" spans="1:9" x14ac:dyDescent="0.25">
      <c r="A9" s="4">
        <v>44105</v>
      </c>
      <c r="B9" t="s">
        <v>22</v>
      </c>
      <c r="C9" t="s">
        <v>12</v>
      </c>
      <c r="D9" t="s">
        <v>16</v>
      </c>
      <c r="E9">
        <v>51</v>
      </c>
      <c r="F9">
        <v>1200</v>
      </c>
      <c r="G9">
        <v>800</v>
      </c>
      <c r="H9">
        <v>61200</v>
      </c>
      <c r="I9">
        <v>20400</v>
      </c>
    </row>
    <row r="10" spans="1:9" x14ac:dyDescent="0.25">
      <c r="A10" s="4">
        <v>44536</v>
      </c>
      <c r="B10" t="s">
        <v>11</v>
      </c>
      <c r="C10" t="s">
        <v>12</v>
      </c>
      <c r="D10" t="s">
        <v>16</v>
      </c>
      <c r="E10">
        <v>67</v>
      </c>
      <c r="F10">
        <v>1200</v>
      </c>
      <c r="G10">
        <v>800</v>
      </c>
      <c r="H10">
        <v>80400</v>
      </c>
      <c r="I10">
        <v>26800</v>
      </c>
    </row>
    <row r="11" spans="1:9" x14ac:dyDescent="0.25">
      <c r="A11" s="4">
        <v>44126</v>
      </c>
      <c r="B11" t="s">
        <v>17</v>
      </c>
      <c r="C11" t="s">
        <v>12</v>
      </c>
      <c r="D11" t="s">
        <v>28</v>
      </c>
      <c r="E11">
        <v>127</v>
      </c>
      <c r="F11">
        <v>10000</v>
      </c>
      <c r="G11">
        <v>7000</v>
      </c>
      <c r="H11">
        <v>1270000</v>
      </c>
      <c r="I11">
        <v>381000</v>
      </c>
    </row>
    <row r="12" spans="1:9" x14ac:dyDescent="0.25">
      <c r="A12" s="4">
        <v>44438</v>
      </c>
      <c r="B12" t="s">
        <v>22</v>
      </c>
      <c r="C12" t="s">
        <v>12</v>
      </c>
      <c r="D12" t="s">
        <v>21</v>
      </c>
      <c r="E12">
        <v>93</v>
      </c>
      <c r="F12">
        <v>4000</v>
      </c>
      <c r="G12">
        <v>3000</v>
      </c>
      <c r="H12">
        <v>372000</v>
      </c>
      <c r="I12">
        <v>93000</v>
      </c>
    </row>
    <row r="13" spans="1:9" x14ac:dyDescent="0.25">
      <c r="A13" s="4">
        <v>44418</v>
      </c>
      <c r="B13" t="s">
        <v>8</v>
      </c>
      <c r="C13" t="s">
        <v>12</v>
      </c>
      <c r="D13" t="s">
        <v>26</v>
      </c>
      <c r="E13">
        <v>103</v>
      </c>
      <c r="F13">
        <v>600</v>
      </c>
      <c r="G13">
        <v>400</v>
      </c>
      <c r="H13">
        <v>61800</v>
      </c>
      <c r="I13">
        <v>20600</v>
      </c>
    </row>
    <row r="14" spans="1:9" x14ac:dyDescent="0.25">
      <c r="A14" s="4">
        <v>44469</v>
      </c>
      <c r="B14" t="s">
        <v>27</v>
      </c>
      <c r="C14" t="s">
        <v>12</v>
      </c>
      <c r="D14" t="s">
        <v>16</v>
      </c>
      <c r="E14">
        <v>55</v>
      </c>
      <c r="F14">
        <v>1200</v>
      </c>
      <c r="G14">
        <v>800</v>
      </c>
      <c r="H14">
        <v>66000</v>
      </c>
      <c r="I14">
        <v>22000</v>
      </c>
    </row>
    <row r="15" spans="1:9" x14ac:dyDescent="0.25">
      <c r="A15" s="4">
        <v>44113</v>
      </c>
      <c r="B15" t="s">
        <v>25</v>
      </c>
      <c r="C15" t="s">
        <v>12</v>
      </c>
      <c r="D15" t="s">
        <v>21</v>
      </c>
      <c r="E15">
        <v>52</v>
      </c>
      <c r="F15">
        <v>4000</v>
      </c>
      <c r="G15">
        <v>3000</v>
      </c>
      <c r="H15">
        <v>208000</v>
      </c>
      <c r="I15">
        <v>52000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B716-095D-4E7B-B0E2-39EB34789794}">
  <dimension ref="A1:I9"/>
  <sheetViews>
    <sheetView workbookViewId="0">
      <selection activeCell="A3" sqref="A3:I9"/>
    </sheetView>
  </sheetViews>
  <sheetFormatPr defaultRowHeight="15" x14ac:dyDescent="0.25"/>
  <cols>
    <col min="1" max="1" width="10.42578125" bestFit="1" customWidth="1"/>
    <col min="2" max="2" width="14.85546875" bestFit="1" customWidth="1"/>
    <col min="3" max="3" width="9.5703125" bestFit="1" customWidth="1"/>
    <col min="4" max="4" width="10.28515625" bestFit="1" customWidth="1"/>
    <col min="5" max="5" width="12.42578125" bestFit="1" customWidth="1"/>
    <col min="6" max="6" width="12" bestFit="1" customWidth="1"/>
    <col min="7" max="7" width="16.28515625" bestFit="1" customWidth="1"/>
    <col min="8" max="8" width="13" bestFit="1" customWidth="1"/>
    <col min="9" max="9" width="9.28515625" bestFit="1" customWidth="1"/>
  </cols>
  <sheetData>
    <row r="1" spans="1:9" x14ac:dyDescent="0.25">
      <c r="A1" s="16" t="s">
        <v>39</v>
      </c>
    </row>
    <row r="3" spans="1:9" x14ac:dyDescent="0.25">
      <c r="A3" t="s">
        <v>0</v>
      </c>
      <c r="B3" t="s">
        <v>1</v>
      </c>
      <c r="C3" t="s">
        <v>2</v>
      </c>
      <c r="D3" t="s">
        <v>3</v>
      </c>
      <c r="E3" t="s">
        <v>4</v>
      </c>
      <c r="F3" t="s">
        <v>5</v>
      </c>
      <c r="G3" t="s">
        <v>6</v>
      </c>
      <c r="H3" t="s">
        <v>7</v>
      </c>
      <c r="I3" t="s">
        <v>29</v>
      </c>
    </row>
    <row r="4" spans="1:9" x14ac:dyDescent="0.25">
      <c r="A4" s="4">
        <v>44246</v>
      </c>
      <c r="B4" t="s">
        <v>8</v>
      </c>
      <c r="C4" t="s">
        <v>9</v>
      </c>
      <c r="D4" t="s">
        <v>10</v>
      </c>
      <c r="E4">
        <v>84</v>
      </c>
      <c r="F4">
        <v>6000</v>
      </c>
      <c r="G4">
        <v>4000</v>
      </c>
      <c r="H4">
        <v>504000</v>
      </c>
      <c r="I4">
        <v>168000</v>
      </c>
    </row>
    <row r="5" spans="1:9" x14ac:dyDescent="0.25">
      <c r="A5" s="4">
        <v>43958</v>
      </c>
      <c r="B5" t="s">
        <v>11</v>
      </c>
      <c r="C5" t="s">
        <v>12</v>
      </c>
      <c r="D5" t="s">
        <v>10</v>
      </c>
      <c r="E5">
        <v>73</v>
      </c>
      <c r="F5">
        <v>6000</v>
      </c>
      <c r="G5">
        <v>4000</v>
      </c>
      <c r="H5">
        <v>438000</v>
      </c>
      <c r="I5">
        <v>146000</v>
      </c>
    </row>
    <row r="6" spans="1:9" x14ac:dyDescent="0.25">
      <c r="A6" s="4">
        <v>44211</v>
      </c>
      <c r="B6" t="s">
        <v>8</v>
      </c>
      <c r="C6" t="s">
        <v>18</v>
      </c>
      <c r="D6" t="s">
        <v>10</v>
      </c>
      <c r="E6">
        <v>78</v>
      </c>
      <c r="F6">
        <v>6000</v>
      </c>
      <c r="G6">
        <v>4000</v>
      </c>
      <c r="H6">
        <v>468000</v>
      </c>
      <c r="I6">
        <v>156000</v>
      </c>
    </row>
    <row r="7" spans="1:9" x14ac:dyDescent="0.25">
      <c r="A7" s="4">
        <v>44551</v>
      </c>
      <c r="B7" t="s">
        <v>24</v>
      </c>
      <c r="C7" t="s">
        <v>9</v>
      </c>
      <c r="D7" t="s">
        <v>10</v>
      </c>
      <c r="E7">
        <v>71</v>
      </c>
      <c r="F7">
        <v>6000</v>
      </c>
      <c r="G7">
        <v>4000</v>
      </c>
      <c r="H7">
        <v>426000</v>
      </c>
      <c r="I7">
        <v>142000</v>
      </c>
    </row>
    <row r="8" spans="1:9" x14ac:dyDescent="0.25">
      <c r="A8" s="4">
        <v>44442</v>
      </c>
      <c r="B8" t="s">
        <v>27</v>
      </c>
      <c r="C8" t="s">
        <v>15</v>
      </c>
      <c r="D8" t="s">
        <v>10</v>
      </c>
      <c r="E8">
        <v>52</v>
      </c>
      <c r="F8">
        <v>6000</v>
      </c>
      <c r="G8">
        <v>4000</v>
      </c>
      <c r="H8">
        <v>312000</v>
      </c>
      <c r="I8">
        <v>104000</v>
      </c>
    </row>
    <row r="9" spans="1:9" x14ac:dyDescent="0.25">
      <c r="A9" s="4">
        <v>44141</v>
      </c>
      <c r="B9" t="s">
        <v>24</v>
      </c>
      <c r="C9" t="s">
        <v>15</v>
      </c>
      <c r="D9" t="s">
        <v>10</v>
      </c>
      <c r="E9">
        <v>146</v>
      </c>
      <c r="F9">
        <v>6000</v>
      </c>
      <c r="G9">
        <v>4000</v>
      </c>
      <c r="H9">
        <v>876000</v>
      </c>
      <c r="I9">
        <v>292000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5FD3-E72F-4C6F-AD34-F08722C53096}">
  <dimension ref="A3:K14"/>
  <sheetViews>
    <sheetView zoomScale="68" zoomScaleNormal="68" workbookViewId="0">
      <selection activeCell="B4" sqref="B3:B4"/>
    </sheetView>
  </sheetViews>
  <sheetFormatPr defaultRowHeight="15" x14ac:dyDescent="0.25"/>
  <cols>
    <col min="1" max="1" width="18.42578125" bestFit="1" customWidth="1"/>
    <col min="2" max="2" width="23.85546875" bestFit="1" customWidth="1"/>
    <col min="3" max="3" width="20" customWidth="1"/>
    <col min="4" max="4" width="18.42578125" bestFit="1" customWidth="1"/>
    <col min="5" max="5" width="23.85546875" bestFit="1" customWidth="1"/>
    <col min="7" max="7" width="18.42578125" bestFit="1" customWidth="1"/>
    <col min="8" max="8" width="23.85546875" bestFit="1" customWidth="1"/>
    <col min="10" max="10" width="18.42578125" bestFit="1" customWidth="1"/>
    <col min="11" max="11" width="22.5703125" bestFit="1" customWidth="1"/>
  </cols>
  <sheetData>
    <row r="3" spans="1:11" x14ac:dyDescent="0.25">
      <c r="A3" s="13" t="s">
        <v>34</v>
      </c>
      <c r="B3" t="s">
        <v>36</v>
      </c>
      <c r="D3" s="13" t="s">
        <v>34</v>
      </c>
      <c r="E3" t="s">
        <v>36</v>
      </c>
      <c r="G3" s="13" t="s">
        <v>34</v>
      </c>
      <c r="H3" t="s">
        <v>36</v>
      </c>
      <c r="J3" s="13" t="s">
        <v>34</v>
      </c>
      <c r="K3" t="s">
        <v>37</v>
      </c>
    </row>
    <row r="4" spans="1:11" x14ac:dyDescent="0.25">
      <c r="A4" s="14" t="s">
        <v>12</v>
      </c>
      <c r="B4" s="15">
        <v>3534400</v>
      </c>
      <c r="D4" s="14" t="s">
        <v>16</v>
      </c>
      <c r="E4" s="15">
        <v>547200</v>
      </c>
      <c r="G4" s="14" t="s">
        <v>8</v>
      </c>
      <c r="H4" s="15">
        <v>1591600</v>
      </c>
      <c r="J4" s="14" t="s">
        <v>16</v>
      </c>
      <c r="K4">
        <v>456</v>
      </c>
    </row>
    <row r="5" spans="1:11" x14ac:dyDescent="0.25">
      <c r="A5" s="14" t="s">
        <v>18</v>
      </c>
      <c r="B5" s="15">
        <v>2661400</v>
      </c>
      <c r="D5" s="14" t="s">
        <v>13</v>
      </c>
      <c r="E5" s="15">
        <v>2222500</v>
      </c>
      <c r="G5" s="14" t="s">
        <v>25</v>
      </c>
      <c r="H5" s="15">
        <v>677600</v>
      </c>
      <c r="J5" s="14" t="s">
        <v>13</v>
      </c>
      <c r="K5">
        <v>635</v>
      </c>
    </row>
    <row r="6" spans="1:11" x14ac:dyDescent="0.25">
      <c r="A6" s="14" t="s">
        <v>15</v>
      </c>
      <c r="B6" s="15">
        <v>2870600</v>
      </c>
      <c r="D6" s="14" t="s">
        <v>26</v>
      </c>
      <c r="E6" s="15">
        <v>706800</v>
      </c>
      <c r="G6" s="14" t="s">
        <v>17</v>
      </c>
      <c r="H6" s="15">
        <v>1957000</v>
      </c>
      <c r="J6" s="14" t="s">
        <v>26</v>
      </c>
      <c r="K6">
        <v>1178</v>
      </c>
    </row>
    <row r="7" spans="1:11" x14ac:dyDescent="0.25">
      <c r="A7" s="14" t="s">
        <v>9</v>
      </c>
      <c r="B7" s="15">
        <v>3878100</v>
      </c>
      <c r="D7" s="14" t="s">
        <v>19</v>
      </c>
      <c r="E7" s="15">
        <v>898000</v>
      </c>
      <c r="G7" s="14" t="s">
        <v>22</v>
      </c>
      <c r="H7" s="15">
        <v>1661400</v>
      </c>
      <c r="J7" s="14" t="s">
        <v>19</v>
      </c>
      <c r="K7">
        <v>898</v>
      </c>
    </row>
    <row r="8" spans="1:11" x14ac:dyDescent="0.25">
      <c r="A8" s="14" t="s">
        <v>35</v>
      </c>
      <c r="B8" s="15">
        <v>12944500</v>
      </c>
      <c r="D8" s="14" t="s">
        <v>28</v>
      </c>
      <c r="E8" s="15">
        <v>2350000</v>
      </c>
      <c r="G8" s="14" t="s">
        <v>24</v>
      </c>
      <c r="H8" s="15">
        <v>1741200</v>
      </c>
      <c r="J8" s="14" t="s">
        <v>28</v>
      </c>
      <c r="K8">
        <v>235</v>
      </c>
    </row>
    <row r="9" spans="1:11" x14ac:dyDescent="0.25">
      <c r="D9" s="14" t="s">
        <v>21</v>
      </c>
      <c r="E9" s="15">
        <v>3196000</v>
      </c>
      <c r="G9" s="14" t="s">
        <v>14</v>
      </c>
      <c r="H9" s="15">
        <v>1110000</v>
      </c>
      <c r="J9" s="14" t="s">
        <v>21</v>
      </c>
      <c r="K9">
        <v>799</v>
      </c>
    </row>
    <row r="10" spans="1:11" x14ac:dyDescent="0.25">
      <c r="D10" s="14" t="s">
        <v>10</v>
      </c>
      <c r="E10" s="15">
        <v>3024000</v>
      </c>
      <c r="G10" s="14" t="s">
        <v>11</v>
      </c>
      <c r="H10" s="15">
        <v>1777400</v>
      </c>
      <c r="J10" s="14" t="s">
        <v>10</v>
      </c>
      <c r="K10">
        <v>504</v>
      </c>
    </row>
    <row r="11" spans="1:11" x14ac:dyDescent="0.25">
      <c r="D11" s="14" t="s">
        <v>35</v>
      </c>
      <c r="E11" s="15">
        <v>12944500</v>
      </c>
      <c r="G11" s="14" t="s">
        <v>20</v>
      </c>
      <c r="H11" s="15">
        <v>1065400</v>
      </c>
      <c r="J11" s="14" t="s">
        <v>35</v>
      </c>
      <c r="K11">
        <v>4705</v>
      </c>
    </row>
    <row r="12" spans="1:11" x14ac:dyDescent="0.25">
      <c r="G12" s="14" t="s">
        <v>27</v>
      </c>
      <c r="H12" s="15">
        <v>784400</v>
      </c>
    </row>
    <row r="13" spans="1:11" x14ac:dyDescent="0.25">
      <c r="G13" s="14" t="s">
        <v>23</v>
      </c>
      <c r="H13" s="15">
        <v>578500</v>
      </c>
    </row>
    <row r="14" spans="1:11" x14ac:dyDescent="0.25">
      <c r="G14" s="14" t="s">
        <v>35</v>
      </c>
      <c r="H14" s="15">
        <v>12944500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7CFA-3A09-493E-8217-3D20E63EA9EB}">
  <dimension ref="A1:K51"/>
  <sheetViews>
    <sheetView topLeftCell="B1" zoomScaleNormal="100" workbookViewId="0">
      <selection activeCell="K17" sqref="K17"/>
    </sheetView>
  </sheetViews>
  <sheetFormatPr defaultRowHeight="15" x14ac:dyDescent="0.25"/>
  <cols>
    <col min="1" max="1" width="18.140625" style="4" customWidth="1"/>
    <col min="2" max="2" width="15" customWidth="1"/>
    <col min="3" max="3" width="16" customWidth="1"/>
    <col min="4" max="4" width="16.5703125" customWidth="1"/>
    <col min="5" max="5" width="12.28515625" customWidth="1"/>
    <col min="6" max="6" width="14" customWidth="1"/>
    <col min="7" max="7" width="16.28515625" customWidth="1"/>
    <col min="8" max="8" width="13.85546875" customWidth="1"/>
    <col min="9" max="9" width="14.42578125" customWidth="1"/>
    <col min="11" max="11" width="17.7109375" customWidth="1"/>
    <col min="14" max="14" width="11.5703125" customWidth="1"/>
  </cols>
  <sheetData>
    <row r="1" spans="1:11" ht="15" customHeight="1" thickBot="1" x14ac:dyDescent="0.3">
      <c r="A1" s="11" t="s">
        <v>0</v>
      </c>
      <c r="B1" s="1" t="s">
        <v>1</v>
      </c>
      <c r="C1" s="1" t="s">
        <v>2</v>
      </c>
      <c r="D1" s="1" t="s">
        <v>3</v>
      </c>
      <c r="E1" s="1" t="s">
        <v>4</v>
      </c>
      <c r="F1" s="1" t="s">
        <v>5</v>
      </c>
      <c r="G1" s="1" t="s">
        <v>6</v>
      </c>
      <c r="H1" s="1" t="s">
        <v>7</v>
      </c>
      <c r="I1" s="5" t="s">
        <v>29</v>
      </c>
      <c r="K1" s="7" t="s">
        <v>30</v>
      </c>
    </row>
    <row r="2" spans="1:11" ht="15" customHeight="1" thickTop="1" thickBot="1" x14ac:dyDescent="0.3">
      <c r="A2" s="12">
        <v>44246</v>
      </c>
      <c r="B2" s="2" t="s">
        <v>8</v>
      </c>
      <c r="C2" s="2" t="s">
        <v>9</v>
      </c>
      <c r="D2" s="2" t="s">
        <v>10</v>
      </c>
      <c r="E2" s="2">
        <v>84</v>
      </c>
      <c r="F2" s="6">
        <v>6000</v>
      </c>
      <c r="G2" s="6">
        <v>4000</v>
      </c>
      <c r="H2" s="6">
        <v>504000</v>
      </c>
      <c r="I2">
        <f>H2-(G2*E2)</f>
        <v>168000</v>
      </c>
      <c r="K2" s="10">
        <f>SUM(H2:H51)</f>
        <v>12944500</v>
      </c>
    </row>
    <row r="3" spans="1:11" ht="15" customHeight="1" thickBot="1" x14ac:dyDescent="0.3">
      <c r="A3" s="12">
        <v>44446</v>
      </c>
      <c r="B3" s="2" t="s">
        <v>11</v>
      </c>
      <c r="C3" s="2" t="s">
        <v>12</v>
      </c>
      <c r="D3" s="2" t="s">
        <v>13</v>
      </c>
      <c r="E3" s="2">
        <v>128</v>
      </c>
      <c r="F3" s="6">
        <v>3500</v>
      </c>
      <c r="G3" s="6">
        <v>2500</v>
      </c>
      <c r="H3" s="6">
        <v>448000</v>
      </c>
      <c r="I3">
        <f t="shared" ref="I3:I51" si="0">H3-(G3*E3)</f>
        <v>128000</v>
      </c>
    </row>
    <row r="4" spans="1:11" ht="15" customHeight="1" thickBot="1" x14ac:dyDescent="0.3">
      <c r="A4" s="12">
        <v>44230</v>
      </c>
      <c r="B4" s="2" t="s">
        <v>14</v>
      </c>
      <c r="C4" s="2" t="s">
        <v>15</v>
      </c>
      <c r="D4" s="2" t="s">
        <v>16</v>
      </c>
      <c r="E4" s="2">
        <v>136</v>
      </c>
      <c r="F4" s="6">
        <v>1200</v>
      </c>
      <c r="G4" s="3">
        <v>800</v>
      </c>
      <c r="H4" s="6">
        <v>163200</v>
      </c>
      <c r="I4">
        <f t="shared" si="0"/>
        <v>54400</v>
      </c>
      <c r="K4" s="8" t="s">
        <v>31</v>
      </c>
    </row>
    <row r="5" spans="1:11" ht="15" customHeight="1" thickBot="1" x14ac:dyDescent="0.3">
      <c r="A5" s="12">
        <v>44085</v>
      </c>
      <c r="B5" s="2" t="s">
        <v>17</v>
      </c>
      <c r="C5" s="2" t="s">
        <v>18</v>
      </c>
      <c r="D5" s="2" t="s">
        <v>19</v>
      </c>
      <c r="E5" s="2">
        <v>91</v>
      </c>
      <c r="F5" s="6">
        <v>1000</v>
      </c>
      <c r="G5" s="3">
        <v>700</v>
      </c>
      <c r="H5" s="6">
        <v>91000</v>
      </c>
      <c r="I5">
        <f t="shared" si="0"/>
        <v>27300</v>
      </c>
      <c r="K5" s="18">
        <f>SUM(E2:E51)</f>
        <v>4705</v>
      </c>
    </row>
    <row r="6" spans="1:11" ht="15" customHeight="1" thickBot="1" x14ac:dyDescent="0.3">
      <c r="A6" s="12">
        <v>44462</v>
      </c>
      <c r="B6" s="2" t="s">
        <v>20</v>
      </c>
      <c r="C6" s="2" t="s">
        <v>9</v>
      </c>
      <c r="D6" s="2" t="s">
        <v>21</v>
      </c>
      <c r="E6" s="2">
        <v>110</v>
      </c>
      <c r="F6" s="6">
        <v>4000</v>
      </c>
      <c r="G6" s="6">
        <v>3000</v>
      </c>
      <c r="H6" s="6">
        <v>440000</v>
      </c>
      <c r="I6">
        <f t="shared" si="0"/>
        <v>110000</v>
      </c>
    </row>
    <row r="7" spans="1:11" ht="15" customHeight="1" thickBot="1" x14ac:dyDescent="0.3">
      <c r="A7" s="12">
        <v>44105</v>
      </c>
      <c r="B7" s="2" t="s">
        <v>22</v>
      </c>
      <c r="C7" s="2" t="s">
        <v>12</v>
      </c>
      <c r="D7" s="2" t="s">
        <v>16</v>
      </c>
      <c r="E7" s="2">
        <v>51</v>
      </c>
      <c r="F7" s="6">
        <v>1200</v>
      </c>
      <c r="G7" s="3">
        <v>800</v>
      </c>
      <c r="H7" s="6">
        <v>61200</v>
      </c>
      <c r="I7">
        <f t="shared" si="0"/>
        <v>20400</v>
      </c>
      <c r="K7" s="9" t="s">
        <v>32</v>
      </c>
    </row>
    <row r="8" spans="1:11" ht="15" customHeight="1" thickBot="1" x14ac:dyDescent="0.3">
      <c r="A8" s="12">
        <v>44413</v>
      </c>
      <c r="B8" s="2" t="s">
        <v>23</v>
      </c>
      <c r="C8" s="2" t="s">
        <v>18</v>
      </c>
      <c r="D8" s="2" t="s">
        <v>19</v>
      </c>
      <c r="E8" s="2">
        <v>78</v>
      </c>
      <c r="F8" s="6">
        <v>1000</v>
      </c>
      <c r="G8" s="3">
        <v>700</v>
      </c>
      <c r="H8" s="6">
        <v>78000</v>
      </c>
      <c r="I8">
        <f t="shared" si="0"/>
        <v>23400</v>
      </c>
      <c r="K8" s="18">
        <f>SUM(I2:I51)</f>
        <v>3834400</v>
      </c>
    </row>
    <row r="9" spans="1:11" ht="15" customHeight="1" thickBot="1" x14ac:dyDescent="0.3">
      <c r="A9" s="12">
        <v>44141</v>
      </c>
      <c r="B9" s="2" t="s">
        <v>24</v>
      </c>
      <c r="C9" s="2" t="s">
        <v>15</v>
      </c>
      <c r="D9" s="2" t="s">
        <v>10</v>
      </c>
      <c r="E9" s="2">
        <v>146</v>
      </c>
      <c r="F9" s="6">
        <v>6000</v>
      </c>
      <c r="G9" s="6">
        <v>4000</v>
      </c>
      <c r="H9" s="6">
        <v>876000</v>
      </c>
      <c r="I9">
        <f t="shared" si="0"/>
        <v>292000</v>
      </c>
    </row>
    <row r="10" spans="1:11" ht="15" customHeight="1" thickBot="1" x14ac:dyDescent="0.3">
      <c r="A10" s="12">
        <v>44223</v>
      </c>
      <c r="B10" s="2" t="s">
        <v>25</v>
      </c>
      <c r="C10" s="2" t="s">
        <v>9</v>
      </c>
      <c r="D10" s="2" t="s">
        <v>26</v>
      </c>
      <c r="E10" s="2">
        <v>101</v>
      </c>
      <c r="F10" s="3">
        <v>600</v>
      </c>
      <c r="G10" s="3">
        <v>400</v>
      </c>
      <c r="H10" s="6">
        <v>60600</v>
      </c>
      <c r="I10">
        <f t="shared" si="0"/>
        <v>20200</v>
      </c>
      <c r="K10" s="9" t="s">
        <v>33</v>
      </c>
    </row>
    <row r="11" spans="1:11" ht="15" customHeight="1" thickBot="1" x14ac:dyDescent="0.3">
      <c r="A11" s="12">
        <v>44442</v>
      </c>
      <c r="B11" s="2" t="s">
        <v>27</v>
      </c>
      <c r="C11" s="2" t="s">
        <v>15</v>
      </c>
      <c r="D11" s="2" t="s">
        <v>10</v>
      </c>
      <c r="E11" s="2">
        <v>52</v>
      </c>
      <c r="F11" s="6">
        <v>6000</v>
      </c>
      <c r="G11" s="6">
        <v>4000</v>
      </c>
      <c r="H11" s="6">
        <v>312000</v>
      </c>
      <c r="I11">
        <f t="shared" si="0"/>
        <v>104000</v>
      </c>
      <c r="K11" s="10">
        <f>AVERAGE(H2:H51)</f>
        <v>258890</v>
      </c>
    </row>
    <row r="12" spans="1:11" ht="15" customHeight="1" thickBot="1" x14ac:dyDescent="0.3">
      <c r="A12" s="12">
        <v>44469</v>
      </c>
      <c r="B12" s="2" t="s">
        <v>27</v>
      </c>
      <c r="C12" s="2" t="s">
        <v>12</v>
      </c>
      <c r="D12" s="2" t="s">
        <v>16</v>
      </c>
      <c r="E12" s="2">
        <v>55</v>
      </c>
      <c r="F12" s="6">
        <v>1200</v>
      </c>
      <c r="G12" s="3">
        <v>800</v>
      </c>
      <c r="H12" s="6">
        <v>66000</v>
      </c>
      <c r="I12">
        <f t="shared" si="0"/>
        <v>22000</v>
      </c>
    </row>
    <row r="13" spans="1:11" ht="15" customHeight="1" thickBot="1" x14ac:dyDescent="0.3">
      <c r="A13" s="12">
        <v>44084</v>
      </c>
      <c r="B13" s="2" t="s">
        <v>27</v>
      </c>
      <c r="C13" s="2" t="s">
        <v>15</v>
      </c>
      <c r="D13" s="2" t="s">
        <v>19</v>
      </c>
      <c r="E13" s="2">
        <v>137</v>
      </c>
      <c r="F13" s="6">
        <v>1000</v>
      </c>
      <c r="G13" s="3">
        <v>700</v>
      </c>
      <c r="H13" s="6">
        <v>137000</v>
      </c>
      <c r="I13">
        <f t="shared" si="0"/>
        <v>41100</v>
      </c>
    </row>
    <row r="14" spans="1:11" ht="15" customHeight="1" thickBot="1" x14ac:dyDescent="0.3">
      <c r="A14" s="12">
        <v>44404</v>
      </c>
      <c r="B14" s="2" t="s">
        <v>24</v>
      </c>
      <c r="C14" s="2" t="s">
        <v>15</v>
      </c>
      <c r="D14" s="2" t="s">
        <v>13</v>
      </c>
      <c r="E14" s="2">
        <v>96</v>
      </c>
      <c r="F14" s="6">
        <v>3500</v>
      </c>
      <c r="G14" s="6">
        <v>2500</v>
      </c>
      <c r="H14" s="6">
        <v>336000</v>
      </c>
      <c r="I14">
        <f t="shared" si="0"/>
        <v>96000</v>
      </c>
    </row>
    <row r="15" spans="1:11" ht="15" customHeight="1" thickBot="1" x14ac:dyDescent="0.3">
      <c r="A15" s="12">
        <v>44113</v>
      </c>
      <c r="B15" s="2" t="s">
        <v>25</v>
      </c>
      <c r="C15" s="2" t="s">
        <v>12</v>
      </c>
      <c r="D15" s="2" t="s">
        <v>21</v>
      </c>
      <c r="E15" s="2">
        <v>52</v>
      </c>
      <c r="F15" s="6">
        <v>4000</v>
      </c>
      <c r="G15" s="6">
        <v>3000</v>
      </c>
      <c r="H15" s="6">
        <v>208000</v>
      </c>
      <c r="I15">
        <f t="shared" si="0"/>
        <v>52000</v>
      </c>
    </row>
    <row r="16" spans="1:11" ht="15" customHeight="1" thickBot="1" x14ac:dyDescent="0.3">
      <c r="A16" s="12">
        <v>44292</v>
      </c>
      <c r="B16" s="2" t="s">
        <v>17</v>
      </c>
      <c r="C16" s="2" t="s">
        <v>9</v>
      </c>
      <c r="D16" s="2" t="s">
        <v>13</v>
      </c>
      <c r="E16" s="2">
        <v>76</v>
      </c>
      <c r="F16" s="6">
        <v>3500</v>
      </c>
      <c r="G16" s="6">
        <v>2500</v>
      </c>
      <c r="H16" s="6">
        <v>266000</v>
      </c>
      <c r="I16">
        <f t="shared" si="0"/>
        <v>76000</v>
      </c>
    </row>
    <row r="17" spans="1:11" ht="15" customHeight="1" thickBot="1" x14ac:dyDescent="0.3">
      <c r="A17" s="12">
        <v>44362</v>
      </c>
      <c r="B17" s="2" t="s">
        <v>11</v>
      </c>
      <c r="C17" s="2" t="s">
        <v>18</v>
      </c>
      <c r="D17" s="2" t="s">
        <v>21</v>
      </c>
      <c r="E17" s="2">
        <v>145</v>
      </c>
      <c r="F17" s="6">
        <v>4000</v>
      </c>
      <c r="G17" s="6">
        <v>3000</v>
      </c>
      <c r="H17" s="6">
        <v>580000</v>
      </c>
      <c r="I17">
        <f t="shared" si="0"/>
        <v>145000</v>
      </c>
      <c r="K17" s="19"/>
    </row>
    <row r="18" spans="1:11" ht="15" customHeight="1" thickBot="1" x14ac:dyDescent="0.3">
      <c r="A18" s="12">
        <v>44083</v>
      </c>
      <c r="B18" s="2" t="s">
        <v>8</v>
      </c>
      <c r="C18" s="2" t="s">
        <v>15</v>
      </c>
      <c r="D18" s="2" t="s">
        <v>26</v>
      </c>
      <c r="E18" s="2">
        <v>83</v>
      </c>
      <c r="F18" s="3">
        <v>600</v>
      </c>
      <c r="G18" s="3">
        <v>400</v>
      </c>
      <c r="H18" s="6">
        <v>49800</v>
      </c>
      <c r="I18">
        <f t="shared" si="0"/>
        <v>16600</v>
      </c>
    </row>
    <row r="19" spans="1:11" ht="15" customHeight="1" thickBot="1" x14ac:dyDescent="0.3">
      <c r="A19" s="12">
        <v>44421</v>
      </c>
      <c r="B19" s="2" t="s">
        <v>20</v>
      </c>
      <c r="C19" s="2" t="s">
        <v>15</v>
      </c>
      <c r="D19" s="2" t="s">
        <v>19</v>
      </c>
      <c r="E19" s="2">
        <v>91</v>
      </c>
      <c r="F19" s="6">
        <v>1000</v>
      </c>
      <c r="G19" s="3">
        <v>700</v>
      </c>
      <c r="H19" s="6">
        <v>91000</v>
      </c>
      <c r="I19">
        <f t="shared" si="0"/>
        <v>27300</v>
      </c>
    </row>
    <row r="20" spans="1:11" ht="15" customHeight="1" thickBot="1" x14ac:dyDescent="0.3">
      <c r="A20" s="12">
        <v>44070</v>
      </c>
      <c r="B20" s="2" t="s">
        <v>22</v>
      </c>
      <c r="C20" s="2" t="s">
        <v>9</v>
      </c>
      <c r="D20" s="2" t="s">
        <v>28</v>
      </c>
      <c r="E20" s="2">
        <v>108</v>
      </c>
      <c r="F20" s="6">
        <v>10000</v>
      </c>
      <c r="G20" s="6">
        <v>7000</v>
      </c>
      <c r="H20" s="6">
        <v>1080000</v>
      </c>
      <c r="I20">
        <f t="shared" si="0"/>
        <v>324000</v>
      </c>
    </row>
    <row r="21" spans="1:11" ht="15" customHeight="1" thickBot="1" x14ac:dyDescent="0.3">
      <c r="A21" s="12">
        <v>44293</v>
      </c>
      <c r="B21" s="2" t="s">
        <v>14</v>
      </c>
      <c r="C21" s="2" t="s">
        <v>18</v>
      </c>
      <c r="D21" s="2" t="s">
        <v>21</v>
      </c>
      <c r="E21" s="2">
        <v>144</v>
      </c>
      <c r="F21" s="6">
        <v>4000</v>
      </c>
      <c r="G21" s="6">
        <v>3000</v>
      </c>
      <c r="H21" s="6">
        <v>576000</v>
      </c>
      <c r="I21">
        <f t="shared" si="0"/>
        <v>144000</v>
      </c>
    </row>
    <row r="22" spans="1:11" ht="15" customHeight="1" thickBot="1" x14ac:dyDescent="0.3">
      <c r="A22" s="12">
        <v>43990</v>
      </c>
      <c r="B22" s="2" t="s">
        <v>20</v>
      </c>
      <c r="C22" s="2" t="s">
        <v>15</v>
      </c>
      <c r="D22" s="2" t="s">
        <v>26</v>
      </c>
      <c r="E22" s="2">
        <v>92</v>
      </c>
      <c r="F22" s="3">
        <v>600</v>
      </c>
      <c r="G22" s="3">
        <v>400</v>
      </c>
      <c r="H22" s="6">
        <v>55200</v>
      </c>
      <c r="I22">
        <f t="shared" si="0"/>
        <v>18400</v>
      </c>
    </row>
    <row r="23" spans="1:11" ht="15" customHeight="1" thickBot="1" x14ac:dyDescent="0.3">
      <c r="A23" s="12">
        <v>44551</v>
      </c>
      <c r="B23" s="2" t="s">
        <v>24</v>
      </c>
      <c r="C23" s="2" t="s">
        <v>9</v>
      </c>
      <c r="D23" s="2" t="s">
        <v>10</v>
      </c>
      <c r="E23" s="2">
        <v>71</v>
      </c>
      <c r="F23" s="6">
        <v>6000</v>
      </c>
      <c r="G23" s="6">
        <v>4000</v>
      </c>
      <c r="H23" s="6">
        <v>426000</v>
      </c>
      <c r="I23">
        <f t="shared" si="0"/>
        <v>142000</v>
      </c>
    </row>
    <row r="24" spans="1:11" ht="15" customHeight="1" thickBot="1" x14ac:dyDescent="0.3">
      <c r="A24" s="12">
        <v>44418</v>
      </c>
      <c r="B24" s="2" t="s">
        <v>8</v>
      </c>
      <c r="C24" s="2" t="s">
        <v>12</v>
      </c>
      <c r="D24" s="2" t="s">
        <v>26</v>
      </c>
      <c r="E24" s="2">
        <v>103</v>
      </c>
      <c r="F24" s="3">
        <v>600</v>
      </c>
      <c r="G24" s="3">
        <v>400</v>
      </c>
      <c r="H24" s="6">
        <v>61800</v>
      </c>
      <c r="I24">
        <f t="shared" si="0"/>
        <v>20600</v>
      </c>
    </row>
    <row r="25" spans="1:11" ht="15" customHeight="1" thickBot="1" x14ac:dyDescent="0.3">
      <c r="A25" s="12">
        <v>44532</v>
      </c>
      <c r="B25" s="2" t="s">
        <v>27</v>
      </c>
      <c r="C25" s="2" t="s">
        <v>18</v>
      </c>
      <c r="D25" s="2" t="s">
        <v>19</v>
      </c>
      <c r="E25" s="2">
        <v>55</v>
      </c>
      <c r="F25" s="6">
        <v>1000</v>
      </c>
      <c r="G25" s="3">
        <v>700</v>
      </c>
      <c r="H25" s="6">
        <v>55000</v>
      </c>
      <c r="I25">
        <f t="shared" si="0"/>
        <v>16500</v>
      </c>
    </row>
    <row r="26" spans="1:11" ht="15" customHeight="1" thickBot="1" x14ac:dyDescent="0.3">
      <c r="A26" s="12">
        <v>44438</v>
      </c>
      <c r="B26" s="2" t="s">
        <v>22</v>
      </c>
      <c r="C26" s="2" t="s">
        <v>12</v>
      </c>
      <c r="D26" s="2" t="s">
        <v>21</v>
      </c>
      <c r="E26" s="2">
        <v>93</v>
      </c>
      <c r="F26" s="6">
        <v>4000</v>
      </c>
      <c r="G26" s="6">
        <v>3000</v>
      </c>
      <c r="H26" s="6">
        <v>372000</v>
      </c>
      <c r="I26">
        <f t="shared" si="0"/>
        <v>93000</v>
      </c>
    </row>
    <row r="27" spans="1:11" ht="15" customHeight="1" thickBot="1" x14ac:dyDescent="0.3">
      <c r="A27" s="12">
        <v>43971</v>
      </c>
      <c r="B27" s="2" t="s">
        <v>14</v>
      </c>
      <c r="C27" s="2" t="s">
        <v>15</v>
      </c>
      <c r="D27" s="2" t="s">
        <v>26</v>
      </c>
      <c r="E27" s="2">
        <v>143</v>
      </c>
      <c r="F27" s="3">
        <v>600</v>
      </c>
      <c r="G27" s="3">
        <v>400</v>
      </c>
      <c r="H27" s="6">
        <v>85800</v>
      </c>
      <c r="I27">
        <f t="shared" si="0"/>
        <v>28600</v>
      </c>
    </row>
    <row r="28" spans="1:11" ht="15" customHeight="1" thickBot="1" x14ac:dyDescent="0.3">
      <c r="A28" s="12">
        <v>44452</v>
      </c>
      <c r="B28" s="2" t="s">
        <v>23</v>
      </c>
      <c r="C28" s="2" t="s">
        <v>9</v>
      </c>
      <c r="D28" s="2" t="s">
        <v>13</v>
      </c>
      <c r="E28" s="2">
        <v>143</v>
      </c>
      <c r="F28" s="6">
        <v>3500</v>
      </c>
      <c r="G28" s="6">
        <v>2500</v>
      </c>
      <c r="H28" s="6">
        <v>500500</v>
      </c>
      <c r="I28">
        <f t="shared" si="0"/>
        <v>143000</v>
      </c>
    </row>
    <row r="29" spans="1:11" ht="15" customHeight="1" thickBot="1" x14ac:dyDescent="0.3">
      <c r="A29" s="12">
        <v>44496</v>
      </c>
      <c r="B29" s="2" t="s">
        <v>25</v>
      </c>
      <c r="C29" s="2" t="s">
        <v>18</v>
      </c>
      <c r="D29" s="2" t="s">
        <v>26</v>
      </c>
      <c r="E29" s="2">
        <v>99</v>
      </c>
      <c r="F29" s="3">
        <v>600</v>
      </c>
      <c r="G29" s="3">
        <v>400</v>
      </c>
      <c r="H29" s="6">
        <v>59400</v>
      </c>
      <c r="I29">
        <f t="shared" si="0"/>
        <v>19800</v>
      </c>
    </row>
    <row r="30" spans="1:11" ht="15" customHeight="1" thickBot="1" x14ac:dyDescent="0.3">
      <c r="A30" s="12">
        <v>44187</v>
      </c>
      <c r="B30" s="2" t="s">
        <v>17</v>
      </c>
      <c r="C30" s="2" t="s">
        <v>9</v>
      </c>
      <c r="D30" s="2" t="s">
        <v>19</v>
      </c>
      <c r="E30" s="2">
        <v>120</v>
      </c>
      <c r="F30" s="6">
        <v>1000</v>
      </c>
      <c r="G30" s="3">
        <v>700</v>
      </c>
      <c r="H30" s="6">
        <v>120000</v>
      </c>
      <c r="I30">
        <f t="shared" si="0"/>
        <v>36000</v>
      </c>
    </row>
    <row r="31" spans="1:11" ht="15" customHeight="1" thickBot="1" x14ac:dyDescent="0.3">
      <c r="A31" s="12">
        <v>44405</v>
      </c>
      <c r="B31" s="2" t="s">
        <v>11</v>
      </c>
      <c r="C31" s="2" t="s">
        <v>15</v>
      </c>
      <c r="D31" s="2" t="s">
        <v>13</v>
      </c>
      <c r="E31" s="2">
        <v>66</v>
      </c>
      <c r="F31" s="6">
        <v>3500</v>
      </c>
      <c r="G31" s="6">
        <v>2500</v>
      </c>
      <c r="H31" s="6">
        <v>231000</v>
      </c>
      <c r="I31">
        <f t="shared" si="0"/>
        <v>66000</v>
      </c>
    </row>
    <row r="32" spans="1:11" ht="15" customHeight="1" thickBot="1" x14ac:dyDescent="0.3">
      <c r="A32" s="12">
        <v>44103</v>
      </c>
      <c r="B32" s="2" t="s">
        <v>25</v>
      </c>
      <c r="C32" s="2" t="s">
        <v>18</v>
      </c>
      <c r="D32" s="2" t="s">
        <v>16</v>
      </c>
      <c r="E32" s="2">
        <v>88</v>
      </c>
      <c r="F32" s="6">
        <v>1200</v>
      </c>
      <c r="G32" s="3">
        <v>800</v>
      </c>
      <c r="H32" s="6">
        <v>105600</v>
      </c>
      <c r="I32">
        <f t="shared" si="0"/>
        <v>35200</v>
      </c>
    </row>
    <row r="33" spans="1:9" ht="15" customHeight="1" thickBot="1" x14ac:dyDescent="0.3">
      <c r="A33" s="12">
        <v>44126</v>
      </c>
      <c r="B33" s="2" t="s">
        <v>17</v>
      </c>
      <c r="C33" s="2" t="s">
        <v>12</v>
      </c>
      <c r="D33" s="2" t="s">
        <v>28</v>
      </c>
      <c r="E33" s="2">
        <v>127</v>
      </c>
      <c r="F33" s="6">
        <v>10000</v>
      </c>
      <c r="G33" s="6">
        <v>7000</v>
      </c>
      <c r="H33" s="6">
        <v>1270000</v>
      </c>
      <c r="I33">
        <f t="shared" si="0"/>
        <v>381000</v>
      </c>
    </row>
    <row r="34" spans="1:9" ht="15" customHeight="1" thickBot="1" x14ac:dyDescent="0.3">
      <c r="A34" s="12">
        <v>43970</v>
      </c>
      <c r="B34" s="2" t="s">
        <v>20</v>
      </c>
      <c r="C34" s="2" t="s">
        <v>9</v>
      </c>
      <c r="D34" s="2" t="s">
        <v>21</v>
      </c>
      <c r="E34" s="2">
        <v>67</v>
      </c>
      <c r="F34" s="6">
        <v>4000</v>
      </c>
      <c r="G34" s="6">
        <v>3000</v>
      </c>
      <c r="H34" s="6">
        <v>268000</v>
      </c>
      <c r="I34">
        <f t="shared" si="0"/>
        <v>67000</v>
      </c>
    </row>
    <row r="35" spans="1:9" ht="15" customHeight="1" thickBot="1" x14ac:dyDescent="0.3">
      <c r="A35" s="12">
        <v>44536</v>
      </c>
      <c r="B35" s="2" t="s">
        <v>11</v>
      </c>
      <c r="C35" s="2" t="s">
        <v>12</v>
      </c>
      <c r="D35" s="2" t="s">
        <v>16</v>
      </c>
      <c r="E35" s="2">
        <v>67</v>
      </c>
      <c r="F35" s="6">
        <v>1200</v>
      </c>
      <c r="G35" s="3">
        <v>800</v>
      </c>
      <c r="H35" s="6">
        <v>80400</v>
      </c>
      <c r="I35">
        <f t="shared" si="0"/>
        <v>26800</v>
      </c>
    </row>
    <row r="36" spans="1:9" ht="15" customHeight="1" thickBot="1" x14ac:dyDescent="0.3">
      <c r="A36" s="12">
        <v>44069</v>
      </c>
      <c r="B36" s="2" t="s">
        <v>27</v>
      </c>
      <c r="C36" s="2" t="s">
        <v>15</v>
      </c>
      <c r="D36" s="2" t="s">
        <v>19</v>
      </c>
      <c r="E36" s="2">
        <v>149</v>
      </c>
      <c r="F36" s="6">
        <v>1000</v>
      </c>
      <c r="G36" s="3">
        <v>700</v>
      </c>
      <c r="H36" s="6">
        <v>149000</v>
      </c>
      <c r="I36">
        <f t="shared" si="0"/>
        <v>44700</v>
      </c>
    </row>
    <row r="37" spans="1:9" ht="15" customHeight="1" thickBot="1" x14ac:dyDescent="0.3">
      <c r="A37" s="12">
        <v>44378</v>
      </c>
      <c r="B37" s="2" t="s">
        <v>20</v>
      </c>
      <c r="C37" s="2" t="s">
        <v>18</v>
      </c>
      <c r="D37" s="2" t="s">
        <v>26</v>
      </c>
      <c r="E37" s="2">
        <v>104</v>
      </c>
      <c r="F37" s="3">
        <v>600</v>
      </c>
      <c r="G37" s="3">
        <v>400</v>
      </c>
      <c r="H37" s="6">
        <v>62400</v>
      </c>
      <c r="I37">
        <f t="shared" si="0"/>
        <v>20800</v>
      </c>
    </row>
    <row r="38" spans="1:9" ht="15" customHeight="1" thickBot="1" x14ac:dyDescent="0.3">
      <c r="A38" s="12">
        <v>44404</v>
      </c>
      <c r="B38" s="2" t="s">
        <v>24</v>
      </c>
      <c r="C38" s="2" t="s">
        <v>9</v>
      </c>
      <c r="D38" s="2" t="s">
        <v>26</v>
      </c>
      <c r="E38" s="2">
        <v>57</v>
      </c>
      <c r="F38" s="3">
        <v>600</v>
      </c>
      <c r="G38" s="3">
        <v>400</v>
      </c>
      <c r="H38" s="6">
        <v>34200</v>
      </c>
      <c r="I38">
        <f t="shared" si="0"/>
        <v>11400</v>
      </c>
    </row>
    <row r="39" spans="1:9" ht="15" customHeight="1" thickBot="1" x14ac:dyDescent="0.3">
      <c r="A39" s="12">
        <v>44109</v>
      </c>
      <c r="B39" s="2" t="s">
        <v>14</v>
      </c>
      <c r="C39" s="2" t="s">
        <v>12</v>
      </c>
      <c r="D39" s="2" t="s">
        <v>26</v>
      </c>
      <c r="E39" s="2">
        <v>90</v>
      </c>
      <c r="F39" s="3">
        <v>600</v>
      </c>
      <c r="G39" s="3">
        <v>400</v>
      </c>
      <c r="H39" s="6">
        <v>54000</v>
      </c>
      <c r="I39">
        <f t="shared" si="0"/>
        <v>18000</v>
      </c>
    </row>
    <row r="40" spans="1:9" ht="15" customHeight="1" thickBot="1" x14ac:dyDescent="0.3">
      <c r="A40" s="12">
        <v>44076</v>
      </c>
      <c r="B40" s="2" t="s">
        <v>22</v>
      </c>
      <c r="C40" s="2" t="s">
        <v>15</v>
      </c>
      <c r="D40" s="2" t="s">
        <v>26</v>
      </c>
      <c r="E40" s="2">
        <v>67</v>
      </c>
      <c r="F40" s="3">
        <v>600</v>
      </c>
      <c r="G40" s="3">
        <v>400</v>
      </c>
      <c r="H40" s="6">
        <v>40200</v>
      </c>
      <c r="I40">
        <f t="shared" si="0"/>
        <v>13400</v>
      </c>
    </row>
    <row r="41" spans="1:9" ht="15" customHeight="1" thickBot="1" x14ac:dyDescent="0.3">
      <c r="A41" s="12">
        <v>44441</v>
      </c>
      <c r="B41" s="2" t="s">
        <v>8</v>
      </c>
      <c r="C41" s="2" t="s">
        <v>18</v>
      </c>
      <c r="D41" s="2" t="s">
        <v>21</v>
      </c>
      <c r="E41" s="2">
        <v>127</v>
      </c>
      <c r="F41" s="6">
        <v>4000</v>
      </c>
      <c r="G41" s="6">
        <v>3000</v>
      </c>
      <c r="H41" s="6">
        <v>508000</v>
      </c>
      <c r="I41">
        <f t="shared" si="0"/>
        <v>127000</v>
      </c>
    </row>
    <row r="42" spans="1:9" ht="15" customHeight="1" thickBot="1" x14ac:dyDescent="0.3">
      <c r="A42" s="12">
        <v>44299</v>
      </c>
      <c r="B42" s="2" t="s">
        <v>22</v>
      </c>
      <c r="C42" s="2" t="s">
        <v>9</v>
      </c>
      <c r="D42" s="2" t="s">
        <v>19</v>
      </c>
      <c r="E42" s="2">
        <v>108</v>
      </c>
      <c r="F42" s="6">
        <v>1000</v>
      </c>
      <c r="G42" s="3">
        <v>700</v>
      </c>
      <c r="H42" s="6">
        <v>108000</v>
      </c>
      <c r="I42">
        <f t="shared" si="0"/>
        <v>32400</v>
      </c>
    </row>
    <row r="43" spans="1:9" ht="15" customHeight="1" thickBot="1" x14ac:dyDescent="0.3">
      <c r="A43" s="12">
        <v>44322</v>
      </c>
      <c r="B43" s="2" t="s">
        <v>14</v>
      </c>
      <c r="C43" s="2" t="s">
        <v>12</v>
      </c>
      <c r="D43" s="2" t="s">
        <v>13</v>
      </c>
      <c r="E43" s="2">
        <v>66</v>
      </c>
      <c r="F43" s="6">
        <v>3500</v>
      </c>
      <c r="G43" s="6">
        <v>2500</v>
      </c>
      <c r="H43" s="6">
        <v>231000</v>
      </c>
      <c r="I43">
        <f t="shared" si="0"/>
        <v>66000</v>
      </c>
    </row>
    <row r="44" spans="1:9" ht="15" customHeight="1" thickBot="1" x14ac:dyDescent="0.3">
      <c r="A44" s="12">
        <v>44211</v>
      </c>
      <c r="B44" s="2" t="s">
        <v>8</v>
      </c>
      <c r="C44" s="2" t="s">
        <v>18</v>
      </c>
      <c r="D44" s="2" t="s">
        <v>10</v>
      </c>
      <c r="E44" s="2">
        <v>78</v>
      </c>
      <c r="F44" s="6">
        <v>6000</v>
      </c>
      <c r="G44" s="6">
        <v>4000</v>
      </c>
      <c r="H44" s="6">
        <v>468000</v>
      </c>
      <c r="I44">
        <f t="shared" si="0"/>
        <v>156000</v>
      </c>
    </row>
    <row r="45" spans="1:9" ht="15" customHeight="1" thickBot="1" x14ac:dyDescent="0.3">
      <c r="A45" s="12">
        <v>44070</v>
      </c>
      <c r="B45" s="2" t="s">
        <v>24</v>
      </c>
      <c r="C45" s="2" t="s">
        <v>15</v>
      </c>
      <c r="D45" s="2" t="s">
        <v>19</v>
      </c>
      <c r="E45" s="2">
        <v>69</v>
      </c>
      <c r="F45" s="6">
        <v>1000</v>
      </c>
      <c r="G45" s="3">
        <v>700</v>
      </c>
      <c r="H45" s="6">
        <v>69000</v>
      </c>
      <c r="I45">
        <f t="shared" si="0"/>
        <v>20700</v>
      </c>
    </row>
    <row r="46" spans="1:9" ht="15" customHeight="1" thickBot="1" x14ac:dyDescent="0.3">
      <c r="A46" s="12">
        <v>44232</v>
      </c>
      <c r="B46" s="2" t="s">
        <v>20</v>
      </c>
      <c r="C46" s="2" t="s">
        <v>9</v>
      </c>
      <c r="D46" s="2" t="s">
        <v>16</v>
      </c>
      <c r="E46" s="2">
        <v>59</v>
      </c>
      <c r="F46" s="6">
        <v>1200</v>
      </c>
      <c r="G46" s="3">
        <v>800</v>
      </c>
      <c r="H46" s="6">
        <v>70800</v>
      </c>
      <c r="I46">
        <f t="shared" si="0"/>
        <v>23600</v>
      </c>
    </row>
    <row r="47" spans="1:9" ht="15" customHeight="1" thickBot="1" x14ac:dyDescent="0.3">
      <c r="A47" s="12">
        <v>44517</v>
      </c>
      <c r="B47" s="2" t="s">
        <v>27</v>
      </c>
      <c r="C47" s="2" t="s">
        <v>15</v>
      </c>
      <c r="D47" s="2" t="s">
        <v>26</v>
      </c>
      <c r="E47" s="2">
        <v>109</v>
      </c>
      <c r="F47" s="3">
        <v>600</v>
      </c>
      <c r="G47" s="3">
        <v>400</v>
      </c>
      <c r="H47" s="6">
        <v>65400</v>
      </c>
      <c r="I47">
        <f t="shared" si="0"/>
        <v>21800</v>
      </c>
    </row>
    <row r="48" spans="1:9" ht="15" customHeight="1" thickBot="1" x14ac:dyDescent="0.3">
      <c r="A48" s="12">
        <v>44193</v>
      </c>
      <c r="B48" s="2" t="s">
        <v>25</v>
      </c>
      <c r="C48" s="2" t="s">
        <v>12</v>
      </c>
      <c r="D48" s="2" t="s">
        <v>21</v>
      </c>
      <c r="E48" s="2">
        <v>61</v>
      </c>
      <c r="F48" s="6">
        <v>4000</v>
      </c>
      <c r="G48" s="6">
        <v>3000</v>
      </c>
      <c r="H48" s="6">
        <v>244000</v>
      </c>
      <c r="I48">
        <f t="shared" si="0"/>
        <v>61000</v>
      </c>
    </row>
    <row r="49" spans="1:9" ht="15" customHeight="1" thickBot="1" x14ac:dyDescent="0.3">
      <c r="A49" s="12">
        <v>44496</v>
      </c>
      <c r="B49" s="2" t="s">
        <v>20</v>
      </c>
      <c r="C49" s="2" t="s">
        <v>18</v>
      </c>
      <c r="D49" s="2" t="s">
        <v>26</v>
      </c>
      <c r="E49" s="2">
        <v>130</v>
      </c>
      <c r="F49" s="3">
        <v>600</v>
      </c>
      <c r="G49" s="3">
        <v>400</v>
      </c>
      <c r="H49" s="6">
        <v>78000</v>
      </c>
      <c r="I49">
        <f t="shared" si="0"/>
        <v>26000</v>
      </c>
    </row>
    <row r="50" spans="1:9" ht="15" customHeight="1" thickBot="1" x14ac:dyDescent="0.3">
      <c r="A50" s="12">
        <v>44502</v>
      </c>
      <c r="B50" s="2" t="s">
        <v>17</v>
      </c>
      <c r="C50" s="2" t="s">
        <v>15</v>
      </c>
      <c r="D50" s="2" t="s">
        <v>13</v>
      </c>
      <c r="E50" s="2">
        <v>60</v>
      </c>
      <c r="F50" s="6">
        <v>3500</v>
      </c>
      <c r="G50" s="6">
        <v>2500</v>
      </c>
      <c r="H50" s="6">
        <v>210000</v>
      </c>
      <c r="I50">
        <f t="shared" si="0"/>
        <v>60000</v>
      </c>
    </row>
    <row r="51" spans="1:9" ht="15" customHeight="1" thickBot="1" x14ac:dyDescent="0.3">
      <c r="A51" s="12">
        <v>43958</v>
      </c>
      <c r="B51" s="2" t="s">
        <v>11</v>
      </c>
      <c r="C51" s="2" t="s">
        <v>12</v>
      </c>
      <c r="D51" s="2" t="s">
        <v>10</v>
      </c>
      <c r="E51" s="2">
        <v>73</v>
      </c>
      <c r="F51" s="6">
        <v>6000</v>
      </c>
      <c r="G51" s="6">
        <v>4000</v>
      </c>
      <c r="H51" s="6">
        <v>438000</v>
      </c>
      <c r="I51">
        <f t="shared" si="0"/>
        <v>146000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3C5C-BD3F-4EFC-91FF-DE5EF80B346B}">
  <dimension ref="A1:U31"/>
  <sheetViews>
    <sheetView showGridLines="0" showRowColHeaders="0" tabSelected="1" zoomScaleNormal="100" workbookViewId="0">
      <selection activeCell="X25" sqref="X25"/>
    </sheetView>
  </sheetViews>
  <sheetFormatPr defaultRowHeight="15" x14ac:dyDescent="0.25"/>
  <cols>
    <col min="20" max="20" width="8.7109375" customWidth="1"/>
    <col min="21" max="21" width="5.85546875" customWidth="1"/>
    <col min="22" max="22" width="7.85546875" customWidth="1"/>
  </cols>
  <sheetData>
    <row r="1" spans="1:21" x14ac:dyDescent="0.25">
      <c r="A1" s="17"/>
      <c r="B1" s="17"/>
      <c r="C1" s="17"/>
      <c r="D1" s="17"/>
      <c r="E1" s="17"/>
      <c r="F1" s="17"/>
      <c r="G1" s="17"/>
      <c r="H1" s="17"/>
      <c r="I1" s="17"/>
      <c r="J1" s="17"/>
      <c r="K1" s="17"/>
      <c r="L1" s="17"/>
      <c r="M1" s="17"/>
      <c r="N1" s="17"/>
      <c r="O1" s="17"/>
      <c r="P1" s="17"/>
      <c r="Q1" s="17"/>
      <c r="R1" s="17"/>
      <c r="S1" s="17"/>
      <c r="T1" s="17"/>
      <c r="U1" s="17"/>
    </row>
    <row r="2" spans="1:21" x14ac:dyDescent="0.25">
      <c r="A2" s="17"/>
      <c r="B2" s="17"/>
      <c r="C2" s="17"/>
      <c r="D2" s="17"/>
      <c r="E2" s="17"/>
      <c r="F2" s="17"/>
      <c r="G2" s="17"/>
      <c r="H2" s="17"/>
      <c r="I2" s="17"/>
      <c r="J2" s="17"/>
      <c r="K2" s="17"/>
      <c r="L2" s="17"/>
      <c r="M2" s="17"/>
      <c r="N2" s="17"/>
      <c r="O2" s="17"/>
      <c r="P2" s="17"/>
      <c r="Q2" s="17"/>
      <c r="R2" s="17"/>
      <c r="S2" s="17"/>
      <c r="T2" s="17"/>
      <c r="U2" s="17"/>
    </row>
    <row r="3" spans="1:21" x14ac:dyDescent="0.25">
      <c r="A3" s="17"/>
      <c r="B3" s="17"/>
      <c r="C3" s="17"/>
      <c r="D3" s="17"/>
      <c r="E3" s="17"/>
      <c r="F3" s="17"/>
      <c r="G3" s="17"/>
      <c r="H3" s="17"/>
      <c r="I3" s="17"/>
      <c r="J3" s="17"/>
      <c r="K3" s="17"/>
      <c r="L3" s="17"/>
      <c r="M3" s="17"/>
      <c r="N3" s="17"/>
      <c r="O3" s="17"/>
      <c r="P3" s="17"/>
      <c r="Q3" s="17"/>
      <c r="R3" s="17"/>
      <c r="S3" s="17"/>
      <c r="T3" s="17"/>
      <c r="U3" s="17"/>
    </row>
    <row r="4" spans="1:21" x14ac:dyDescent="0.25">
      <c r="A4" s="17"/>
      <c r="B4" s="17"/>
      <c r="C4" s="17"/>
      <c r="D4" s="17"/>
      <c r="E4" s="17"/>
      <c r="F4" s="17"/>
      <c r="G4" s="17"/>
      <c r="H4" s="17"/>
      <c r="I4" s="17"/>
      <c r="J4" s="17"/>
      <c r="K4" s="17"/>
      <c r="L4" s="17"/>
      <c r="M4" s="17"/>
      <c r="N4" s="17"/>
      <c r="O4" s="17"/>
      <c r="P4" s="17"/>
      <c r="Q4" s="17"/>
      <c r="R4" s="17"/>
      <c r="S4" s="17"/>
      <c r="T4" s="17"/>
      <c r="U4" s="17"/>
    </row>
    <row r="5" spans="1:21" x14ac:dyDescent="0.25">
      <c r="A5" s="17"/>
      <c r="B5" s="17"/>
      <c r="C5" s="17"/>
      <c r="D5" s="17"/>
      <c r="E5" s="17"/>
      <c r="F5" s="17"/>
      <c r="G5" s="17"/>
      <c r="H5" s="17"/>
      <c r="I5" s="17"/>
      <c r="J5" s="17"/>
      <c r="K5" s="17"/>
      <c r="L5" s="17"/>
      <c r="M5" s="17"/>
      <c r="N5" s="17"/>
      <c r="O5" s="17"/>
      <c r="P5" s="17"/>
      <c r="Q5" s="17"/>
      <c r="R5" s="17"/>
      <c r="S5" s="17"/>
      <c r="T5" s="17"/>
      <c r="U5" s="17"/>
    </row>
    <row r="6" spans="1:21" x14ac:dyDescent="0.25">
      <c r="A6" s="17"/>
      <c r="B6" s="17"/>
      <c r="C6" s="17"/>
      <c r="D6" s="17"/>
      <c r="E6" s="17"/>
      <c r="F6" s="17"/>
      <c r="G6" s="17"/>
      <c r="H6" s="17"/>
      <c r="I6" s="17"/>
      <c r="J6" s="17"/>
      <c r="K6" s="17"/>
      <c r="L6" s="17"/>
      <c r="M6" s="17"/>
      <c r="N6" s="17"/>
      <c r="O6" s="17"/>
      <c r="P6" s="17"/>
      <c r="Q6" s="17"/>
      <c r="R6" s="17"/>
      <c r="S6" s="17"/>
      <c r="T6" s="17"/>
      <c r="U6" s="17"/>
    </row>
    <row r="7" spans="1:21" x14ac:dyDescent="0.25">
      <c r="A7" s="17"/>
      <c r="B7" s="17"/>
      <c r="C7" s="17"/>
      <c r="D7" s="17"/>
      <c r="E7" s="17"/>
      <c r="F7" s="17"/>
      <c r="G7" s="17"/>
      <c r="H7" s="17"/>
      <c r="I7" s="17"/>
      <c r="J7" s="17"/>
      <c r="K7" s="17"/>
      <c r="L7" s="17"/>
      <c r="M7" s="17"/>
      <c r="N7" s="17"/>
      <c r="O7" s="17"/>
      <c r="P7" s="17"/>
      <c r="Q7" s="17"/>
      <c r="R7" s="17"/>
      <c r="S7" s="17"/>
      <c r="T7" s="17"/>
      <c r="U7" s="17"/>
    </row>
    <row r="8" spans="1:21" x14ac:dyDescent="0.25">
      <c r="A8" s="17"/>
      <c r="B8" s="17"/>
      <c r="C8" s="17"/>
      <c r="D8" s="17"/>
      <c r="E8" s="17"/>
      <c r="F8" s="17"/>
      <c r="G8" s="17"/>
      <c r="H8" s="17"/>
      <c r="I8" s="17"/>
      <c r="J8" s="17"/>
      <c r="K8" s="17"/>
      <c r="L8" s="17"/>
      <c r="M8" s="17"/>
      <c r="N8" s="17"/>
      <c r="O8" s="17"/>
      <c r="P8" s="17"/>
      <c r="Q8" s="17"/>
      <c r="R8" s="17"/>
      <c r="S8" s="17"/>
      <c r="T8" s="17"/>
      <c r="U8" s="17"/>
    </row>
    <row r="9" spans="1:21" x14ac:dyDescent="0.25">
      <c r="A9" s="17"/>
      <c r="B9" s="17"/>
      <c r="C9" s="17"/>
      <c r="D9" s="17"/>
      <c r="E9" s="17"/>
      <c r="F9" s="17"/>
      <c r="G9" s="17"/>
      <c r="H9" s="17"/>
      <c r="I9" s="17"/>
      <c r="J9" s="17"/>
      <c r="K9" s="17"/>
      <c r="L9" s="17"/>
      <c r="M9" s="17"/>
      <c r="N9" s="17"/>
      <c r="O9" s="17"/>
      <c r="P9" s="17"/>
      <c r="Q9" s="17"/>
      <c r="R9" s="17"/>
      <c r="S9" s="17"/>
      <c r="T9" s="17"/>
      <c r="U9" s="17"/>
    </row>
    <row r="10" spans="1:21" x14ac:dyDescent="0.25">
      <c r="A10" s="17"/>
      <c r="B10" s="17"/>
      <c r="C10" s="17"/>
      <c r="D10" s="17"/>
      <c r="E10" s="17"/>
      <c r="F10" s="17"/>
      <c r="G10" s="17"/>
      <c r="H10" s="17"/>
      <c r="I10" s="17"/>
      <c r="J10" s="17"/>
      <c r="K10" s="17"/>
      <c r="L10" s="17"/>
      <c r="M10" s="17"/>
      <c r="N10" s="17"/>
      <c r="O10" s="17"/>
      <c r="P10" s="17"/>
      <c r="Q10" s="17"/>
      <c r="R10" s="17"/>
      <c r="S10" s="17"/>
      <c r="T10" s="17"/>
      <c r="U10" s="17"/>
    </row>
    <row r="11" spans="1:21" x14ac:dyDescent="0.25">
      <c r="A11" s="17"/>
      <c r="B11" s="17"/>
      <c r="C11" s="17"/>
      <c r="D11" s="17"/>
      <c r="E11" s="17"/>
      <c r="F11" s="17"/>
      <c r="G11" s="17"/>
      <c r="H11" s="17"/>
      <c r="I11" s="17"/>
      <c r="J11" s="17"/>
      <c r="K11" s="17"/>
      <c r="L11" s="17"/>
      <c r="M11" s="17"/>
      <c r="N11" s="17"/>
      <c r="O11" s="17"/>
      <c r="P11" s="17"/>
      <c r="Q11" s="17"/>
      <c r="R11" s="17"/>
      <c r="S11" s="17"/>
      <c r="T11" s="17"/>
      <c r="U11" s="17"/>
    </row>
    <row r="12" spans="1:21" x14ac:dyDescent="0.25">
      <c r="A12" s="17"/>
      <c r="B12" s="17"/>
      <c r="C12" s="17"/>
      <c r="D12" s="17"/>
      <c r="E12" s="17"/>
      <c r="F12" s="17"/>
      <c r="G12" s="17"/>
      <c r="H12" s="17"/>
      <c r="I12" s="17"/>
      <c r="J12" s="17"/>
      <c r="K12" s="17"/>
      <c r="L12" s="17"/>
      <c r="M12" s="17"/>
      <c r="N12" s="17"/>
      <c r="O12" s="17"/>
      <c r="P12" s="17"/>
      <c r="Q12" s="17"/>
      <c r="R12" s="17"/>
      <c r="S12" s="17"/>
      <c r="T12" s="17"/>
      <c r="U12" s="17"/>
    </row>
    <row r="13" spans="1:21" x14ac:dyDescent="0.25">
      <c r="A13" s="17"/>
      <c r="B13" s="17"/>
      <c r="C13" s="17"/>
      <c r="D13" s="17"/>
      <c r="E13" s="17"/>
      <c r="F13" s="17"/>
      <c r="G13" s="17"/>
      <c r="H13" s="17"/>
      <c r="I13" s="17"/>
      <c r="J13" s="17"/>
      <c r="K13" s="17"/>
      <c r="L13" s="17"/>
      <c r="M13" s="17"/>
      <c r="N13" s="17"/>
      <c r="O13" s="17"/>
      <c r="P13" s="17"/>
      <c r="Q13" s="17"/>
      <c r="R13" s="17"/>
      <c r="S13" s="17"/>
      <c r="T13" s="17"/>
      <c r="U13" s="17"/>
    </row>
    <row r="14" spans="1:21" x14ac:dyDescent="0.25">
      <c r="A14" s="17"/>
      <c r="B14" s="17"/>
      <c r="C14" s="17"/>
      <c r="D14" s="17"/>
      <c r="E14" s="17"/>
      <c r="F14" s="17"/>
      <c r="G14" s="17"/>
      <c r="H14" s="17"/>
      <c r="I14" s="17"/>
      <c r="J14" s="17"/>
      <c r="K14" s="17"/>
      <c r="L14" s="17"/>
      <c r="M14" s="17"/>
      <c r="N14" s="17"/>
      <c r="O14" s="17"/>
      <c r="P14" s="17"/>
      <c r="Q14" s="17"/>
      <c r="R14" s="17"/>
      <c r="S14" s="17"/>
      <c r="T14" s="17"/>
      <c r="U14" s="17"/>
    </row>
    <row r="15" spans="1:21" x14ac:dyDescent="0.25">
      <c r="A15" s="17"/>
      <c r="B15" s="17"/>
      <c r="C15" s="17"/>
      <c r="D15" s="17"/>
      <c r="E15" s="17"/>
      <c r="F15" s="17"/>
      <c r="G15" s="17"/>
      <c r="H15" s="17"/>
      <c r="I15" s="17"/>
      <c r="J15" s="17"/>
      <c r="K15" s="17"/>
      <c r="L15" s="17"/>
      <c r="M15" s="17"/>
      <c r="N15" s="17"/>
      <c r="O15" s="17"/>
      <c r="P15" s="17"/>
      <c r="Q15" s="17"/>
      <c r="R15" s="17"/>
      <c r="S15" s="17"/>
      <c r="T15" s="17"/>
      <c r="U15" s="17"/>
    </row>
    <row r="16" spans="1:21" x14ac:dyDescent="0.25">
      <c r="A16" s="17"/>
      <c r="B16" s="17"/>
      <c r="C16" s="17"/>
      <c r="D16" s="17"/>
      <c r="E16" s="17"/>
      <c r="F16" s="17"/>
      <c r="G16" s="17"/>
      <c r="H16" s="17"/>
      <c r="I16" s="17"/>
      <c r="J16" s="17"/>
      <c r="K16" s="17"/>
      <c r="L16" s="17"/>
      <c r="M16" s="17"/>
      <c r="N16" s="17"/>
      <c r="O16" s="17"/>
      <c r="P16" s="17"/>
      <c r="Q16" s="17"/>
      <c r="R16" s="17"/>
      <c r="S16" s="17"/>
      <c r="T16" s="17"/>
      <c r="U16" s="17"/>
    </row>
    <row r="17" spans="1:21" x14ac:dyDescent="0.25">
      <c r="A17" s="17"/>
      <c r="B17" s="17"/>
      <c r="C17" s="17"/>
      <c r="D17" s="17"/>
      <c r="E17" s="17"/>
      <c r="F17" s="17"/>
      <c r="G17" s="17"/>
      <c r="H17" s="17"/>
      <c r="I17" s="17"/>
      <c r="J17" s="17"/>
      <c r="K17" s="17"/>
      <c r="L17" s="17"/>
      <c r="M17" s="17"/>
      <c r="N17" s="17"/>
      <c r="O17" s="17"/>
      <c r="P17" s="17"/>
      <c r="Q17" s="17"/>
      <c r="R17" s="17"/>
      <c r="S17" s="17"/>
      <c r="T17" s="17"/>
      <c r="U17" s="17"/>
    </row>
    <row r="18" spans="1:21" x14ac:dyDescent="0.25">
      <c r="A18" s="17"/>
      <c r="B18" s="17"/>
      <c r="C18" s="17"/>
      <c r="D18" s="17"/>
      <c r="E18" s="17"/>
      <c r="F18" s="17"/>
      <c r="G18" s="17"/>
      <c r="H18" s="17"/>
      <c r="I18" s="17"/>
      <c r="J18" s="17"/>
      <c r="K18" s="17"/>
      <c r="L18" s="17"/>
      <c r="M18" s="17"/>
      <c r="N18" s="17"/>
      <c r="O18" s="17"/>
      <c r="P18" s="17"/>
      <c r="Q18" s="17"/>
      <c r="R18" s="17"/>
      <c r="S18" s="17"/>
      <c r="T18" s="17"/>
      <c r="U18" s="17"/>
    </row>
    <row r="19" spans="1:21" x14ac:dyDescent="0.25">
      <c r="A19" s="17"/>
      <c r="B19" s="17"/>
      <c r="C19" s="17"/>
      <c r="D19" s="17"/>
      <c r="E19" s="17"/>
      <c r="F19" s="17"/>
      <c r="G19" s="17"/>
      <c r="H19" s="17"/>
      <c r="I19" s="17"/>
      <c r="J19" s="17"/>
      <c r="K19" s="17"/>
      <c r="L19" s="17"/>
      <c r="M19" s="17"/>
      <c r="N19" s="17"/>
      <c r="O19" s="17"/>
      <c r="P19" s="17"/>
      <c r="Q19" s="17"/>
      <c r="R19" s="17"/>
      <c r="S19" s="17"/>
      <c r="T19" s="17"/>
      <c r="U19" s="17"/>
    </row>
    <row r="20" spans="1:21" x14ac:dyDescent="0.25">
      <c r="A20" s="17"/>
      <c r="B20" s="17"/>
      <c r="C20" s="17"/>
      <c r="D20" s="17"/>
      <c r="E20" s="17"/>
      <c r="F20" s="17"/>
      <c r="G20" s="17"/>
      <c r="H20" s="17"/>
      <c r="I20" s="17"/>
      <c r="J20" s="17"/>
      <c r="K20" s="17"/>
      <c r="L20" s="17"/>
      <c r="M20" s="17"/>
      <c r="N20" s="17"/>
      <c r="O20" s="17"/>
      <c r="P20" s="17"/>
      <c r="Q20" s="17"/>
      <c r="R20" s="17"/>
      <c r="S20" s="17"/>
      <c r="T20" s="17"/>
      <c r="U20" s="17"/>
    </row>
    <row r="21" spans="1:21" x14ac:dyDescent="0.25">
      <c r="A21" s="17"/>
      <c r="B21" s="17"/>
      <c r="C21" s="17"/>
      <c r="D21" s="17"/>
      <c r="E21" s="17"/>
      <c r="F21" s="17"/>
      <c r="G21" s="17"/>
      <c r="H21" s="17"/>
      <c r="I21" s="17"/>
      <c r="J21" s="17"/>
      <c r="K21" s="17"/>
      <c r="L21" s="17"/>
      <c r="M21" s="17"/>
      <c r="N21" s="17"/>
      <c r="O21" s="17"/>
      <c r="P21" s="17"/>
      <c r="Q21" s="17"/>
      <c r="R21" s="17"/>
      <c r="S21" s="17"/>
      <c r="T21" s="17"/>
      <c r="U21" s="17"/>
    </row>
    <row r="22" spans="1:21" x14ac:dyDescent="0.25">
      <c r="A22" s="17"/>
      <c r="B22" s="17"/>
      <c r="C22" s="17"/>
      <c r="D22" s="17"/>
      <c r="E22" s="17"/>
      <c r="F22" s="17"/>
      <c r="G22" s="17"/>
      <c r="H22" s="17"/>
      <c r="I22" s="17"/>
      <c r="J22" s="17"/>
      <c r="K22" s="17"/>
      <c r="L22" s="17"/>
      <c r="M22" s="17"/>
      <c r="N22" s="17"/>
      <c r="O22" s="17"/>
      <c r="P22" s="17"/>
      <c r="Q22" s="17"/>
      <c r="R22" s="17"/>
      <c r="S22" s="17"/>
      <c r="T22" s="17"/>
      <c r="U22" s="17"/>
    </row>
    <row r="23" spans="1:21" x14ac:dyDescent="0.25">
      <c r="A23" s="17"/>
      <c r="B23" s="17"/>
      <c r="C23" s="17"/>
      <c r="D23" s="17"/>
      <c r="E23" s="17"/>
      <c r="F23" s="17"/>
      <c r="G23" s="17"/>
      <c r="H23" s="17"/>
      <c r="I23" s="17"/>
      <c r="J23" s="17"/>
      <c r="K23" s="17"/>
      <c r="L23" s="17"/>
      <c r="M23" s="17"/>
      <c r="N23" s="17"/>
      <c r="O23" s="17"/>
      <c r="P23" s="17"/>
      <c r="Q23" s="17"/>
      <c r="R23" s="17"/>
      <c r="S23" s="17"/>
      <c r="T23" s="17"/>
      <c r="U23" s="17"/>
    </row>
    <row r="24" spans="1:21" x14ac:dyDescent="0.25">
      <c r="A24" s="17"/>
      <c r="B24" s="17"/>
      <c r="C24" s="17"/>
      <c r="D24" s="17"/>
      <c r="E24" s="17"/>
      <c r="F24" s="17"/>
      <c r="G24" s="17"/>
      <c r="H24" s="17"/>
      <c r="I24" s="17"/>
      <c r="J24" s="17"/>
      <c r="K24" s="17"/>
      <c r="L24" s="17"/>
      <c r="M24" s="17"/>
      <c r="N24" s="17"/>
      <c r="O24" s="17"/>
      <c r="P24" s="17"/>
      <c r="Q24" s="17"/>
      <c r="R24" s="17"/>
      <c r="S24" s="17"/>
      <c r="T24" s="17"/>
      <c r="U24" s="17"/>
    </row>
    <row r="25" spans="1:21" x14ac:dyDescent="0.25">
      <c r="A25" s="17"/>
      <c r="B25" s="17"/>
      <c r="C25" s="17"/>
      <c r="D25" s="17"/>
      <c r="E25" s="17"/>
      <c r="F25" s="17"/>
      <c r="G25" s="17"/>
      <c r="H25" s="17"/>
      <c r="I25" s="17"/>
      <c r="J25" s="17"/>
      <c r="K25" s="17"/>
      <c r="L25" s="17"/>
      <c r="M25" s="17"/>
      <c r="N25" s="17"/>
      <c r="O25" s="17"/>
      <c r="P25" s="17"/>
      <c r="Q25" s="17"/>
      <c r="R25" s="17"/>
      <c r="S25" s="17"/>
      <c r="T25" s="17"/>
      <c r="U25" s="17"/>
    </row>
    <row r="26" spans="1:21" x14ac:dyDescent="0.25">
      <c r="A26" s="17"/>
      <c r="B26" s="17"/>
      <c r="C26" s="17"/>
      <c r="D26" s="17"/>
      <c r="E26" s="17"/>
      <c r="F26" s="17"/>
      <c r="G26" s="17"/>
      <c r="H26" s="17"/>
      <c r="I26" s="17"/>
      <c r="J26" s="17"/>
      <c r="K26" s="17"/>
      <c r="L26" s="17"/>
      <c r="M26" s="17"/>
      <c r="N26" s="17"/>
      <c r="O26" s="17"/>
      <c r="P26" s="17"/>
      <c r="Q26" s="17"/>
      <c r="R26" s="17"/>
      <c r="S26" s="17"/>
      <c r="T26" s="17"/>
      <c r="U26" s="17"/>
    </row>
    <row r="27" spans="1:21" x14ac:dyDescent="0.25">
      <c r="A27" s="17"/>
      <c r="B27" s="17"/>
      <c r="C27" s="17"/>
      <c r="D27" s="17"/>
      <c r="E27" s="17"/>
      <c r="F27" s="17"/>
      <c r="G27" s="17"/>
      <c r="H27" s="17"/>
      <c r="I27" s="17"/>
      <c r="J27" s="17"/>
      <c r="K27" s="17"/>
      <c r="L27" s="17"/>
      <c r="M27" s="17"/>
      <c r="N27" s="17"/>
      <c r="O27" s="17"/>
      <c r="P27" s="17"/>
      <c r="Q27" s="17"/>
      <c r="R27" s="17"/>
      <c r="S27" s="17"/>
      <c r="T27" s="17"/>
      <c r="U27" s="17"/>
    </row>
    <row r="28" spans="1:21" x14ac:dyDescent="0.25">
      <c r="A28" s="17"/>
      <c r="B28" s="17"/>
      <c r="C28" s="17"/>
      <c r="D28" s="17"/>
      <c r="E28" s="17"/>
      <c r="F28" s="17"/>
      <c r="G28" s="17"/>
      <c r="H28" s="17"/>
      <c r="I28" s="17"/>
      <c r="J28" s="17"/>
      <c r="K28" s="17"/>
      <c r="L28" s="17"/>
      <c r="M28" s="17"/>
      <c r="N28" s="17"/>
      <c r="O28" s="17"/>
      <c r="P28" s="17"/>
      <c r="Q28" s="17"/>
      <c r="R28" s="17"/>
      <c r="S28" s="17"/>
      <c r="T28" s="17"/>
      <c r="U28" s="17"/>
    </row>
    <row r="29" spans="1:21" x14ac:dyDescent="0.25">
      <c r="A29" s="17"/>
      <c r="B29" s="17"/>
      <c r="C29" s="17"/>
      <c r="D29" s="17"/>
      <c r="E29" s="17"/>
      <c r="F29" s="17"/>
      <c r="G29" s="17"/>
      <c r="H29" s="17"/>
      <c r="I29" s="17"/>
      <c r="J29" s="17"/>
      <c r="K29" s="17"/>
      <c r="L29" s="17"/>
      <c r="M29" s="17"/>
      <c r="N29" s="17"/>
      <c r="O29" s="17"/>
      <c r="P29" s="17"/>
      <c r="Q29" s="17"/>
      <c r="R29" s="17"/>
      <c r="S29" s="17"/>
      <c r="T29" s="17"/>
      <c r="U29" s="17"/>
    </row>
    <row r="30" spans="1:21" x14ac:dyDescent="0.25">
      <c r="A30" s="17"/>
      <c r="B30" s="17"/>
      <c r="C30" s="17"/>
      <c r="D30" s="17"/>
      <c r="E30" s="17"/>
      <c r="F30" s="17"/>
      <c r="G30" s="17"/>
      <c r="H30" s="17"/>
      <c r="I30" s="17"/>
      <c r="J30" s="17"/>
      <c r="K30" s="17"/>
      <c r="L30" s="17"/>
      <c r="M30" s="17"/>
      <c r="N30" s="17"/>
      <c r="O30" s="17"/>
      <c r="P30" s="17"/>
      <c r="Q30" s="17"/>
      <c r="R30" s="17"/>
      <c r="S30" s="17"/>
      <c r="T30" s="17"/>
      <c r="U30" s="17"/>
    </row>
    <row r="31" spans="1:21" x14ac:dyDescent="0.25">
      <c r="A31" s="17"/>
      <c r="B31" s="17"/>
      <c r="C31" s="17"/>
      <c r="D31" s="17"/>
      <c r="E31" s="17"/>
      <c r="F31" s="17"/>
      <c r="G31" s="17"/>
      <c r="H31" s="17"/>
      <c r="I31" s="17"/>
      <c r="J31" s="17"/>
      <c r="K31" s="17"/>
      <c r="L31" s="17"/>
      <c r="M31" s="17"/>
      <c r="N31" s="17"/>
      <c r="O31" s="17"/>
      <c r="P31" s="17"/>
      <c r="Q31" s="17"/>
      <c r="R31" s="17"/>
      <c r="S31" s="17"/>
      <c r="T31" s="17"/>
      <c r="U3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S0138330</dc:creator>
  <cp:lastModifiedBy>S0138330</cp:lastModifiedBy>
  <dcterms:created xsi:type="dcterms:W3CDTF">2026-06-12T05:52:01Z</dcterms:created>
  <dcterms:modified xsi:type="dcterms:W3CDTF">2026-06-16T11:05:48Z</dcterms:modified>
</cp:coreProperties>
</file>